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zefitek\Documents\matura2022\Czerwiec\"/>
    </mc:Choice>
  </mc:AlternateContent>
  <xr:revisionPtr revIDLastSave="0" documentId="13_ncr:1_{2EFFE03A-8CDB-43A8-97E6-DBBBB2A87FDB}" xr6:coauthVersionLast="47" xr6:coauthVersionMax="47" xr10:uidLastSave="{00000000-0000-0000-0000-000000000000}"/>
  <bookViews>
    <workbookView xWindow="-120" yWindow="-120" windowWidth="38640" windowHeight="19575" activeTab="2" xr2:uid="{54C4D3D9-9187-4278-A216-DC62779918CB}"/>
  </bookViews>
  <sheets>
    <sheet name="5.4 b" sheetId="3" r:id="rId1"/>
    <sheet name="zad 5.2" sheetId="2" r:id="rId2"/>
    <sheet name="5.1, 5.3, 5.4 a" sheetId="1" r:id="rId3"/>
  </sheets>
  <definedNames>
    <definedName name="temperatury" localSheetId="2">'5.1, 5.3, 5.4 a'!$A$2:$B$93</definedName>
    <definedName name="temperatury" localSheetId="0">'5.4 b'!$A$2:$B$93</definedName>
  </definedNames>
  <calcPr calcId="18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" i="1" l="1"/>
  <c r="L4" i="1"/>
  <c r="L5" i="1" s="1"/>
  <c r="L6" i="1" s="1"/>
  <c r="L7" i="1" s="1"/>
  <c r="L8" i="1" s="1"/>
  <c r="L9" i="1" s="1"/>
  <c r="L10" i="1" s="1"/>
  <c r="L11" i="1" s="1"/>
  <c r="L12" i="1"/>
  <c r="L13" i="1"/>
  <c r="L14" i="1"/>
  <c r="L15" i="1"/>
  <c r="L16" i="1" s="1"/>
  <c r="L17" i="1" s="1"/>
  <c r="L18" i="1"/>
  <c r="L19" i="1"/>
  <c r="L20" i="1"/>
  <c r="L21" i="1"/>
  <c r="L22" i="1" s="1"/>
  <c r="L23" i="1" s="1"/>
  <c r="L24" i="1" s="1"/>
  <c r="L25" i="1" s="1"/>
  <c r="L26" i="1" s="1"/>
  <c r="L27" i="1" s="1"/>
  <c r="L28" i="1" s="1"/>
  <c r="L29" i="1"/>
  <c r="L30" i="1"/>
  <c r="L31" i="1"/>
  <c r="L32" i="1"/>
  <c r="L33" i="1"/>
  <c r="L34" i="1" s="1"/>
  <c r="L35" i="1" s="1"/>
  <c r="L36" i="1" s="1"/>
  <c r="L37" i="1"/>
  <c r="L38" i="1"/>
  <c r="L39" i="1"/>
  <c r="L40" i="1"/>
  <c r="L41" i="1" s="1"/>
  <c r="L42" i="1" s="1"/>
  <c r="L43" i="1" s="1"/>
  <c r="L44" i="1" s="1"/>
  <c r="L45" i="1"/>
  <c r="L46" i="1"/>
  <c r="L47" i="1" s="1"/>
  <c r="L48" i="1" s="1"/>
  <c r="L49" i="1"/>
  <c r="L50" i="1"/>
  <c r="L51" i="1"/>
  <c r="L52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/>
  <c r="L65" i="1" s="1"/>
  <c r="L66" i="1" s="1"/>
  <c r="L67" i="1"/>
  <c r="L68" i="1"/>
  <c r="L69" i="1"/>
  <c r="L70" i="1" s="1"/>
  <c r="L71" i="1"/>
  <c r="L72" i="1"/>
  <c r="L73" i="1"/>
  <c r="L74" i="1"/>
  <c r="L75" i="1"/>
  <c r="L76" i="1" s="1"/>
  <c r="L77" i="1"/>
  <c r="L78" i="1"/>
  <c r="L79" i="1"/>
  <c r="L80" i="1"/>
  <c r="L81" i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L93" i="1" s="1"/>
  <c r="L3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2" i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2" i="3"/>
  <c r="B102" i="3"/>
  <c r="C101" i="3"/>
  <c r="B101" i="3"/>
  <c r="E101" i="3" s="1"/>
  <c r="E100" i="3"/>
  <c r="D100" i="3"/>
  <c r="B100" i="3"/>
  <c r="C100" i="3" s="1"/>
  <c r="E99" i="3"/>
  <c r="D99" i="3"/>
  <c r="C99" i="3"/>
  <c r="E98" i="3"/>
  <c r="D98" i="3"/>
  <c r="C98" i="3"/>
  <c r="E97" i="3"/>
  <c r="D97" i="3"/>
  <c r="C97" i="3"/>
  <c r="E96" i="3"/>
  <c r="D96" i="3"/>
  <c r="C96" i="3"/>
  <c r="E95" i="3"/>
  <c r="D95" i="3"/>
  <c r="C95" i="3"/>
  <c r="E94" i="3"/>
  <c r="D94" i="3"/>
  <c r="C94" i="3"/>
  <c r="E93" i="3"/>
  <c r="D93" i="3"/>
  <c r="C93" i="3"/>
  <c r="E92" i="3"/>
  <c r="D92" i="3"/>
  <c r="C92" i="3"/>
  <c r="E91" i="3"/>
  <c r="D91" i="3"/>
  <c r="C91" i="3"/>
  <c r="E90" i="3"/>
  <c r="D90" i="3"/>
  <c r="C90" i="3"/>
  <c r="E89" i="3"/>
  <c r="D89" i="3"/>
  <c r="C89" i="3"/>
  <c r="E88" i="3"/>
  <c r="D88" i="3"/>
  <c r="C88" i="3"/>
  <c r="E87" i="3"/>
  <c r="D87" i="3"/>
  <c r="C87" i="3"/>
  <c r="E86" i="3"/>
  <c r="D86" i="3"/>
  <c r="C86" i="3"/>
  <c r="E85" i="3"/>
  <c r="D85" i="3"/>
  <c r="C85" i="3"/>
  <c r="E84" i="3"/>
  <c r="D84" i="3"/>
  <c r="C84" i="3"/>
  <c r="E83" i="3"/>
  <c r="D83" i="3"/>
  <c r="C83" i="3"/>
  <c r="E82" i="3"/>
  <c r="D82" i="3"/>
  <c r="C82" i="3"/>
  <c r="E81" i="3"/>
  <c r="D81" i="3"/>
  <c r="C81" i="3"/>
  <c r="E80" i="3"/>
  <c r="D80" i="3"/>
  <c r="C80" i="3"/>
  <c r="E79" i="3"/>
  <c r="D79" i="3"/>
  <c r="C79" i="3"/>
  <c r="E78" i="3"/>
  <c r="D78" i="3"/>
  <c r="C78" i="3"/>
  <c r="E77" i="3"/>
  <c r="D77" i="3"/>
  <c r="C77" i="3"/>
  <c r="E76" i="3"/>
  <c r="D76" i="3"/>
  <c r="C76" i="3"/>
  <c r="E75" i="3"/>
  <c r="D75" i="3"/>
  <c r="C75" i="3"/>
  <c r="E74" i="3"/>
  <c r="D74" i="3"/>
  <c r="C74" i="3"/>
  <c r="E73" i="3"/>
  <c r="D73" i="3"/>
  <c r="C73" i="3"/>
  <c r="E72" i="3"/>
  <c r="D72" i="3"/>
  <c r="C72" i="3"/>
  <c r="E71" i="3"/>
  <c r="D71" i="3"/>
  <c r="C71" i="3"/>
  <c r="E70" i="3"/>
  <c r="D70" i="3"/>
  <c r="C70" i="3"/>
  <c r="E69" i="3"/>
  <c r="D69" i="3"/>
  <c r="C69" i="3"/>
  <c r="E68" i="3"/>
  <c r="D68" i="3"/>
  <c r="C68" i="3"/>
  <c r="E67" i="3"/>
  <c r="D67" i="3"/>
  <c r="C67" i="3"/>
  <c r="E66" i="3"/>
  <c r="D66" i="3"/>
  <c r="C66" i="3"/>
  <c r="E65" i="3"/>
  <c r="D65" i="3"/>
  <c r="C65" i="3"/>
  <c r="E64" i="3"/>
  <c r="D64" i="3"/>
  <c r="C64" i="3"/>
  <c r="E63" i="3"/>
  <c r="D63" i="3"/>
  <c r="C63" i="3"/>
  <c r="E62" i="3"/>
  <c r="D62" i="3"/>
  <c r="C62" i="3"/>
  <c r="E61" i="3"/>
  <c r="D61" i="3"/>
  <c r="C61" i="3"/>
  <c r="E60" i="3"/>
  <c r="D60" i="3"/>
  <c r="C60" i="3"/>
  <c r="E59" i="3"/>
  <c r="D59" i="3"/>
  <c r="C59" i="3"/>
  <c r="E58" i="3"/>
  <c r="D58" i="3"/>
  <c r="C58" i="3"/>
  <c r="E57" i="3"/>
  <c r="D57" i="3"/>
  <c r="C57" i="3"/>
  <c r="E56" i="3"/>
  <c r="D56" i="3"/>
  <c r="C56" i="3"/>
  <c r="E55" i="3"/>
  <c r="D55" i="3"/>
  <c r="C55" i="3"/>
  <c r="E54" i="3"/>
  <c r="D54" i="3"/>
  <c r="C54" i="3"/>
  <c r="E53" i="3"/>
  <c r="D53" i="3"/>
  <c r="C53" i="3"/>
  <c r="E52" i="3"/>
  <c r="D52" i="3"/>
  <c r="C52" i="3"/>
  <c r="E51" i="3"/>
  <c r="D51" i="3"/>
  <c r="C51" i="3"/>
  <c r="E50" i="3"/>
  <c r="D50" i="3"/>
  <c r="C50" i="3"/>
  <c r="E49" i="3"/>
  <c r="D49" i="3"/>
  <c r="C49" i="3"/>
  <c r="E48" i="3"/>
  <c r="D48" i="3"/>
  <c r="C48" i="3"/>
  <c r="E47" i="3"/>
  <c r="D47" i="3"/>
  <c r="C47" i="3"/>
  <c r="E46" i="3"/>
  <c r="D46" i="3"/>
  <c r="C46" i="3"/>
  <c r="E45" i="3"/>
  <c r="D45" i="3"/>
  <c r="C45" i="3"/>
  <c r="E44" i="3"/>
  <c r="D44" i="3"/>
  <c r="C44" i="3"/>
  <c r="E43" i="3"/>
  <c r="D43" i="3"/>
  <c r="C43" i="3"/>
  <c r="E42" i="3"/>
  <c r="D42" i="3"/>
  <c r="C42" i="3"/>
  <c r="E41" i="3"/>
  <c r="D41" i="3"/>
  <c r="C41" i="3"/>
  <c r="E40" i="3"/>
  <c r="D40" i="3"/>
  <c r="C40" i="3"/>
  <c r="E39" i="3"/>
  <c r="D39" i="3"/>
  <c r="C39" i="3"/>
  <c r="E38" i="3"/>
  <c r="D38" i="3"/>
  <c r="C38" i="3"/>
  <c r="E37" i="3"/>
  <c r="D37" i="3"/>
  <c r="C37" i="3"/>
  <c r="E36" i="3"/>
  <c r="D36" i="3"/>
  <c r="C36" i="3"/>
  <c r="E35" i="3"/>
  <c r="D35" i="3"/>
  <c r="C35" i="3"/>
  <c r="E34" i="3"/>
  <c r="D34" i="3"/>
  <c r="C34" i="3"/>
  <c r="E33" i="3"/>
  <c r="D33" i="3"/>
  <c r="C33" i="3"/>
  <c r="E32" i="3"/>
  <c r="D32" i="3"/>
  <c r="C32" i="3"/>
  <c r="E31" i="3"/>
  <c r="D31" i="3"/>
  <c r="C31" i="3"/>
  <c r="E30" i="3"/>
  <c r="D30" i="3"/>
  <c r="C30" i="3"/>
  <c r="E29" i="3"/>
  <c r="D29" i="3"/>
  <c r="C29" i="3"/>
  <c r="E28" i="3"/>
  <c r="D28" i="3"/>
  <c r="C28" i="3"/>
  <c r="E27" i="3"/>
  <c r="D27" i="3"/>
  <c r="C27" i="3"/>
  <c r="E26" i="3"/>
  <c r="D26" i="3"/>
  <c r="C26" i="3"/>
  <c r="E25" i="3"/>
  <c r="D25" i="3"/>
  <c r="C25" i="3"/>
  <c r="E24" i="3"/>
  <c r="D24" i="3"/>
  <c r="C24" i="3"/>
  <c r="E23" i="3"/>
  <c r="D23" i="3"/>
  <c r="C23" i="3"/>
  <c r="E22" i="3"/>
  <c r="D22" i="3"/>
  <c r="C22" i="3"/>
  <c r="E21" i="3"/>
  <c r="D21" i="3"/>
  <c r="C21" i="3"/>
  <c r="E20" i="3"/>
  <c r="D20" i="3"/>
  <c r="C20" i="3"/>
  <c r="E19" i="3"/>
  <c r="D19" i="3"/>
  <c r="C19" i="3"/>
  <c r="E18" i="3"/>
  <c r="D18" i="3"/>
  <c r="C18" i="3"/>
  <c r="E17" i="3"/>
  <c r="D17" i="3"/>
  <c r="C17" i="3"/>
  <c r="E16" i="3"/>
  <c r="D16" i="3"/>
  <c r="C16" i="3"/>
  <c r="E15" i="3"/>
  <c r="D15" i="3"/>
  <c r="C15" i="3"/>
  <c r="E14" i="3"/>
  <c r="D14" i="3"/>
  <c r="C14" i="3"/>
  <c r="E13" i="3"/>
  <c r="D13" i="3"/>
  <c r="C13" i="3"/>
  <c r="E12" i="3"/>
  <c r="D12" i="3"/>
  <c r="C12" i="3"/>
  <c r="E11" i="3"/>
  <c r="D11" i="3"/>
  <c r="C11" i="3"/>
  <c r="E10" i="3"/>
  <c r="D10" i="3"/>
  <c r="C10" i="3"/>
  <c r="E9" i="3"/>
  <c r="D9" i="3"/>
  <c r="C9" i="3"/>
  <c r="E8" i="3"/>
  <c r="D8" i="3"/>
  <c r="C8" i="3"/>
  <c r="E7" i="3"/>
  <c r="D7" i="3"/>
  <c r="C7" i="3"/>
  <c r="E6" i="3"/>
  <c r="D6" i="3"/>
  <c r="C6" i="3"/>
  <c r="E5" i="3"/>
  <c r="D5" i="3"/>
  <c r="C5" i="3"/>
  <c r="E4" i="3"/>
  <c r="D4" i="3"/>
  <c r="C4" i="3"/>
  <c r="E3" i="3"/>
  <c r="D3" i="3"/>
  <c r="C3" i="3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B101" i="1"/>
  <c r="B102" i="1"/>
  <c r="B103" i="1"/>
  <c r="B104" i="1"/>
  <c r="B105" i="1"/>
  <c r="B106" i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00" i="1"/>
  <c r="C99" i="1"/>
  <c r="F99" i="1"/>
  <c r="I99" i="1" s="1"/>
  <c r="D99" i="1"/>
  <c r="G99" i="1"/>
  <c r="E99" i="1"/>
  <c r="H99" i="1"/>
  <c r="C98" i="1"/>
  <c r="F98" i="1"/>
  <c r="I98" i="1" s="1"/>
  <c r="D98" i="1"/>
  <c r="G98" i="1"/>
  <c r="E98" i="1"/>
  <c r="H98" i="1"/>
  <c r="C97" i="1"/>
  <c r="F97" i="1"/>
  <c r="I97" i="1" s="1"/>
  <c r="D97" i="1"/>
  <c r="G97" i="1"/>
  <c r="E97" i="1"/>
  <c r="H97" i="1"/>
  <c r="C96" i="1"/>
  <c r="F96" i="1"/>
  <c r="D96" i="1"/>
  <c r="G96" i="1"/>
  <c r="E96" i="1"/>
  <c r="H96" i="1" s="1"/>
  <c r="C95" i="1"/>
  <c r="F95" i="1"/>
  <c r="I95" i="1" s="1"/>
  <c r="D95" i="1"/>
  <c r="G95" i="1"/>
  <c r="E95" i="1"/>
  <c r="H95" i="1"/>
  <c r="C94" i="1"/>
  <c r="F94" i="1"/>
  <c r="D94" i="1"/>
  <c r="G94" i="1"/>
  <c r="E94" i="1"/>
  <c r="H94" i="1" s="1"/>
  <c r="J4" i="1"/>
  <c r="J5" i="1"/>
  <c r="J6" i="1"/>
  <c r="J7" i="1"/>
  <c r="J8" i="1"/>
  <c r="J9" i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3" i="1"/>
  <c r="I40" i="3" l="1"/>
  <c r="I34" i="3"/>
  <c r="I28" i="3"/>
  <c r="I22" i="3"/>
  <c r="I63" i="3"/>
  <c r="I27" i="3"/>
  <c r="I39" i="3"/>
  <c r="I21" i="3"/>
  <c r="I9" i="3"/>
  <c r="I33" i="3"/>
  <c r="I18" i="3"/>
  <c r="I30" i="3"/>
  <c r="I5" i="3"/>
  <c r="I36" i="3"/>
  <c r="I24" i="3"/>
  <c r="I77" i="3"/>
  <c r="I42" i="3"/>
  <c r="I97" i="3"/>
  <c r="I68" i="3"/>
  <c r="I59" i="3"/>
  <c r="I61" i="3"/>
  <c r="I69" i="3"/>
  <c r="I75" i="3"/>
  <c r="I45" i="3"/>
  <c r="I51" i="3"/>
  <c r="I87" i="3"/>
  <c r="I81" i="3"/>
  <c r="I57" i="3"/>
  <c r="I93" i="3"/>
  <c r="I2" i="3"/>
  <c r="I8" i="3"/>
  <c r="I50" i="3"/>
  <c r="I79" i="3"/>
  <c r="I86" i="3"/>
  <c r="I53" i="3"/>
  <c r="I55" i="3"/>
  <c r="I89" i="3"/>
  <c r="I91" i="3"/>
  <c r="I98" i="3"/>
  <c r="I96" i="3"/>
  <c r="I11" i="3"/>
  <c r="I23" i="3"/>
  <c r="I35" i="3"/>
  <c r="I47" i="3"/>
  <c r="I72" i="3"/>
  <c r="I83" i="3"/>
  <c r="I14" i="3"/>
  <c r="I17" i="3"/>
  <c r="I29" i="3"/>
  <c r="I41" i="3"/>
  <c r="I54" i="3"/>
  <c r="I65" i="3"/>
  <c r="I90" i="3"/>
  <c r="I71" i="3"/>
  <c r="I73" i="3"/>
  <c r="I3" i="3"/>
  <c r="J3" i="3" s="1"/>
  <c r="I4" i="3"/>
  <c r="I12" i="3"/>
  <c r="I13" i="3"/>
  <c r="I56" i="3"/>
  <c r="I58" i="3"/>
  <c r="I60" i="3"/>
  <c r="I74" i="3"/>
  <c r="I76" i="3"/>
  <c r="I78" i="3"/>
  <c r="I92" i="3"/>
  <c r="I94" i="3"/>
  <c r="I10" i="3"/>
  <c r="I19" i="3"/>
  <c r="I25" i="3"/>
  <c r="I31" i="3"/>
  <c r="I37" i="3"/>
  <c r="I43" i="3"/>
  <c r="I52" i="3"/>
  <c r="I70" i="3"/>
  <c r="I88" i="3"/>
  <c r="I49" i="3"/>
  <c r="I67" i="3"/>
  <c r="I85" i="3"/>
  <c r="I6" i="3"/>
  <c r="I7" i="3"/>
  <c r="I15" i="3"/>
  <c r="I16" i="3"/>
  <c r="I20" i="3"/>
  <c r="I26" i="3"/>
  <c r="I32" i="3"/>
  <c r="I38" i="3"/>
  <c r="I44" i="3"/>
  <c r="I46" i="3"/>
  <c r="I48" i="3"/>
  <c r="I62" i="3"/>
  <c r="I64" i="3"/>
  <c r="I66" i="3"/>
  <c r="I80" i="3"/>
  <c r="I82" i="3"/>
  <c r="I84" i="3"/>
  <c r="D101" i="3"/>
  <c r="I101" i="3" s="1"/>
  <c r="I95" i="3"/>
  <c r="I99" i="3"/>
  <c r="I100" i="3"/>
  <c r="C102" i="3"/>
  <c r="E102" i="3"/>
  <c r="B103" i="3"/>
  <c r="D102" i="3"/>
  <c r="I96" i="1"/>
  <c r="I94" i="1"/>
  <c r="I102" i="3" l="1"/>
  <c r="C103" i="3"/>
  <c r="B104" i="3"/>
  <c r="E103" i="3"/>
  <c r="D103" i="3"/>
  <c r="J4" i="3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J34" i="3" s="1"/>
  <c r="J35" i="3" s="1"/>
  <c r="J36" i="3" s="1"/>
  <c r="J37" i="3" s="1"/>
  <c r="J38" i="3" s="1"/>
  <c r="J39" i="3" s="1"/>
  <c r="J40" i="3" s="1"/>
  <c r="J41" i="3" s="1"/>
  <c r="J42" i="3" s="1"/>
  <c r="J43" i="3" s="1"/>
  <c r="J44" i="3" s="1"/>
  <c r="J45" i="3" s="1"/>
  <c r="J46" i="3" s="1"/>
  <c r="J47" i="3" s="1"/>
  <c r="J48" i="3" s="1"/>
  <c r="J49" i="3" s="1"/>
  <c r="J50" i="3" s="1"/>
  <c r="J51" i="3" s="1"/>
  <c r="J52" i="3" s="1"/>
  <c r="J53" i="3" s="1"/>
  <c r="J54" i="3" s="1"/>
  <c r="J55" i="3" s="1"/>
  <c r="J56" i="3" s="1"/>
  <c r="J57" i="3" s="1"/>
  <c r="J58" i="3" s="1"/>
  <c r="J59" i="3" s="1"/>
  <c r="J60" i="3" s="1"/>
  <c r="J61" i="3" s="1"/>
  <c r="J62" i="3" s="1"/>
  <c r="J63" i="3" s="1"/>
  <c r="J64" i="3" s="1"/>
  <c r="J65" i="3" s="1"/>
  <c r="J66" i="3" s="1"/>
  <c r="J67" i="3" s="1"/>
  <c r="J68" i="3" s="1"/>
  <c r="J69" i="3" s="1"/>
  <c r="J70" i="3" s="1"/>
  <c r="J71" i="3" s="1"/>
  <c r="J72" i="3" s="1"/>
  <c r="J73" i="3" s="1"/>
  <c r="J74" i="3" s="1"/>
  <c r="J75" i="3" s="1"/>
  <c r="J76" i="3" s="1"/>
  <c r="J77" i="3" s="1"/>
  <c r="J78" i="3" s="1"/>
  <c r="J79" i="3" s="1"/>
  <c r="J80" i="3" s="1"/>
  <c r="J81" i="3" s="1"/>
  <c r="J82" i="3" s="1"/>
  <c r="J83" i="3" s="1"/>
  <c r="J84" i="3" s="1"/>
  <c r="J85" i="3" s="1"/>
  <c r="J86" i="3" s="1"/>
  <c r="J87" i="3" s="1"/>
  <c r="J88" i="3" s="1"/>
  <c r="J89" i="3" s="1"/>
  <c r="J90" i="3" s="1"/>
  <c r="J91" i="3" s="1"/>
  <c r="J92" i="3" s="1"/>
  <c r="J93" i="3" s="1"/>
  <c r="E104" i="3" l="1"/>
  <c r="B105" i="3"/>
  <c r="D104" i="3"/>
  <c r="C104" i="3"/>
  <c r="I103" i="3"/>
  <c r="C105" i="3" l="1"/>
  <c r="E105" i="3"/>
  <c r="B106" i="3"/>
  <c r="D105" i="3"/>
  <c r="I104" i="3"/>
  <c r="C106" i="3" l="1"/>
  <c r="B107" i="3"/>
  <c r="E106" i="3"/>
  <c r="D106" i="3"/>
  <c r="I105" i="3"/>
  <c r="E107" i="3" l="1"/>
  <c r="B108" i="3"/>
  <c r="D107" i="3"/>
  <c r="C107" i="3"/>
  <c r="I107" i="3" s="1"/>
  <c r="I106" i="3"/>
  <c r="C108" i="3" l="1"/>
  <c r="E108" i="3"/>
  <c r="B109" i="3"/>
  <c r="D108" i="3"/>
  <c r="C109" i="3" l="1"/>
  <c r="B110" i="3"/>
  <c r="E109" i="3"/>
  <c r="D109" i="3"/>
  <c r="I108" i="3"/>
  <c r="E110" i="3" l="1"/>
  <c r="B111" i="3"/>
  <c r="D110" i="3"/>
  <c r="C110" i="3"/>
  <c r="I110" i="3" s="1"/>
  <c r="I109" i="3"/>
  <c r="C111" i="3" l="1"/>
  <c r="I111" i="3" s="1"/>
  <c r="E111" i="3"/>
  <c r="B112" i="3"/>
  <c r="D111" i="3"/>
  <c r="C112" i="3" l="1"/>
  <c r="B113" i="3"/>
  <c r="E112" i="3"/>
  <c r="D112" i="3"/>
  <c r="E113" i="3" l="1"/>
  <c r="B114" i="3"/>
  <c r="D113" i="3"/>
  <c r="C113" i="3"/>
  <c r="I113" i="3" s="1"/>
  <c r="I112" i="3"/>
  <c r="C114" i="3" l="1"/>
  <c r="E114" i="3"/>
  <c r="B115" i="3"/>
  <c r="D114" i="3"/>
  <c r="C115" i="3" l="1"/>
  <c r="I115" i="3" s="1"/>
  <c r="B116" i="3"/>
  <c r="E115" i="3"/>
  <c r="D115" i="3"/>
  <c r="I114" i="3"/>
  <c r="E116" i="3" l="1"/>
  <c r="B117" i="3"/>
  <c r="D116" i="3"/>
  <c r="C116" i="3"/>
  <c r="I116" i="3" s="1"/>
  <c r="C117" i="3" l="1"/>
  <c r="E117" i="3"/>
  <c r="B118" i="3"/>
  <c r="D117" i="3"/>
  <c r="C118" i="3" l="1"/>
  <c r="B119" i="3"/>
  <c r="E118" i="3"/>
  <c r="D118" i="3"/>
  <c r="I117" i="3"/>
  <c r="E119" i="3" l="1"/>
  <c r="B120" i="3"/>
  <c r="D119" i="3"/>
  <c r="C119" i="3"/>
  <c r="I119" i="3" s="1"/>
  <c r="I118" i="3"/>
  <c r="C120" i="3" l="1"/>
  <c r="E120" i="3"/>
  <c r="B121" i="3"/>
  <c r="D120" i="3"/>
  <c r="C121" i="3" l="1"/>
  <c r="B122" i="3"/>
  <c r="E121" i="3"/>
  <c r="D121" i="3"/>
  <c r="I120" i="3"/>
  <c r="E122" i="3" l="1"/>
  <c r="B123" i="3"/>
  <c r="D122" i="3"/>
  <c r="C122" i="3"/>
  <c r="I122" i="3" s="1"/>
  <c r="I121" i="3"/>
  <c r="C123" i="3" l="1"/>
  <c r="E123" i="3"/>
  <c r="D123" i="3"/>
  <c r="I123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EE23FA-3465-46D7-A755-B68CCEE26868}" name="temperatury" type="6" refreshedVersion="8" background="1" saveData="1">
    <textPr codePage="852" sourceFile="C:\Users\szefitek\Documents\matura2022\Czerwiec\DANE\temperatury.txt" decimal="," thousands=" " tab="0" semicolon="1">
      <textFields count="2">
        <textField type="DMY"/>
        <textField/>
      </textFields>
    </textPr>
  </connection>
  <connection id="2" xr16:uid="{6AEB5185-1CBA-445C-B6D0-25141AD78E8E}" name="temperatury1" type="6" refreshedVersion="8" background="1" saveData="1">
    <textPr codePage="852" sourceFile="C:\Users\szefitek\Documents\matura2022\Czerwiec\DANE\temperatury.txt" decimal="," thousands=" " tab="0" semicolon="1">
      <textFields count="2">
        <textField type="DMY"/>
        <textField/>
      </textFields>
    </textPr>
  </connection>
</connections>
</file>

<file path=xl/sharedStrings.xml><?xml version="1.0" encoding="utf-8"?>
<sst xmlns="http://schemas.openxmlformats.org/spreadsheetml/2006/main" count="32" uniqueCount="22">
  <si>
    <t>Data</t>
  </si>
  <si>
    <t>Prognozowana temperatura</t>
  </si>
  <si>
    <t>liczba sprzedanych lodów</t>
  </si>
  <si>
    <t>liczba sprzedanych hot-dogów</t>
  </si>
  <si>
    <t>liczba sprzedanej kukurydzy</t>
  </si>
  <si>
    <t>kwota za sprzedarz lodow (zł)</t>
  </si>
  <si>
    <t>kwota za sprzedarz hot-dogow (zł)</t>
  </si>
  <si>
    <t>kwota za sprzedarz kukurydzy (zł)</t>
  </si>
  <si>
    <t>suma utargu tego dnia (zł)</t>
  </si>
  <si>
    <t>suma utragu łącznie do tego dnia (zł)</t>
  </si>
  <si>
    <t>Etykiety wierszy</t>
  </si>
  <si>
    <t>Suma końcowa</t>
  </si>
  <si>
    <t>cze</t>
  </si>
  <si>
    <t>lip</t>
  </si>
  <si>
    <t>sie</t>
  </si>
  <si>
    <t>Suma z liczba sprzedanej kukurydzy</t>
  </si>
  <si>
    <t>Suma z liczba sprzedanych hot-dogów</t>
  </si>
  <si>
    <t>Suma z liczba sprzedanych lodów</t>
  </si>
  <si>
    <t>dodatkowa cena</t>
  </si>
  <si>
    <t>czy ciepły</t>
  </si>
  <si>
    <t>suma ciagow</t>
  </si>
  <si>
    <t>maksymalna suma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</si>
</sst>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\ &quot;zł&quot;"/>
  </numFmts>
  <fonts count="1" x14ac:knownFonts="1">
    <font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14" fontId="0" fillId="2" borderId="0" xfId="0" applyNumberFormat="1" applyFill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165" fontId="0" fillId="0" borderId="0" xfId="0" applyNumberFormat="1"/>
    <xf numFmtId="2" fontId="0" fillId="2" borderId="0" xfId="0" applyNumberFormat="1" applyFill="1"/>
    <xf numFmtId="14" fontId="0" fillId="0" borderId="0" xfId="0" applyNumberFormat="1" applyFill="1"/>
    <xf numFmtId="0" fontId="0" fillId="0" borderId="0" xfId="0" applyFill="1"/>
    <xf numFmtId="165" fontId="0" fillId="0" borderId="0" xfId="0" applyNumberFormat="1" applyFill="1"/>
    <xf numFmtId="14" fontId="0" fillId="3" borderId="0" xfId="0" applyNumberFormat="1" applyFill="1"/>
    <xf numFmtId="0" fontId="0" fillId="3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[zad5.xlsx]zad 5.2!Tabela przestawna1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Ilość sprzedanych produktów w danym miesiącu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'zad 5.2'!$B$3</c:f>
              <c:strCache>
                <c:ptCount val="1"/>
                <c:pt idx="0">
                  <c:v>Suma z liczba sprzedanej kukurydzy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'zad 5.2'!$A$4:$A$7</c:f>
              <c:strCache>
                <c:ptCount val="3"/>
                <c:pt idx="0">
                  <c:v>cze</c:v>
                </c:pt>
                <c:pt idx="1">
                  <c:v>lip</c:v>
                </c:pt>
                <c:pt idx="2">
                  <c:v>sie</c:v>
                </c:pt>
              </c:strCache>
            </c:strRef>
          </c:cat>
          <c:val>
            <c:numRef>
              <c:f>'zad 5.2'!$B$4:$B$7</c:f>
              <c:numCache>
                <c:formatCode>General</c:formatCode>
                <c:ptCount val="3"/>
                <c:pt idx="0">
                  <c:v>2355</c:v>
                </c:pt>
                <c:pt idx="1">
                  <c:v>2448</c:v>
                </c:pt>
                <c:pt idx="2">
                  <c:v>2390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39-462B-8974-6E798F968604}"/>
            </c:ext>
          </c:extLst>
        </c:ser>
        <c:ser>
          <c:idx val="1"/>
          <c:order val="1"/>
          <c:tx>
            <c:strRef>
              <c:f>'zad 5.2'!$C$3</c:f>
              <c:strCache>
                <c:ptCount val="1"/>
                <c:pt idx="0">
                  <c:v>Suma z liczba sprzedanych hot-dogów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'zad 5.2'!$A$4:$A$7</c:f>
              <c:strCache>
                <c:ptCount val="3"/>
                <c:pt idx="0">
                  <c:v>cze</c:v>
                </c:pt>
                <c:pt idx="1">
                  <c:v>lip</c:v>
                </c:pt>
                <c:pt idx="2">
                  <c:v>sie</c:v>
                </c:pt>
              </c:strCache>
            </c:strRef>
          </c:cat>
          <c:val>
            <c:numRef>
              <c:f>'zad 5.2'!$C$4:$C$7</c:f>
              <c:numCache>
                <c:formatCode>General</c:formatCode>
                <c:ptCount val="3"/>
                <c:pt idx="0">
                  <c:v>2639</c:v>
                </c:pt>
                <c:pt idx="1">
                  <c:v>2747</c:v>
                </c:pt>
                <c:pt idx="2">
                  <c:v>2665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39-462B-8974-6E798F968604}"/>
            </c:ext>
          </c:extLst>
        </c:ser>
        <c:ser>
          <c:idx val="2"/>
          <c:order val="2"/>
          <c:tx>
            <c:strRef>
              <c:f>'zad 5.2'!$D$3</c:f>
              <c:strCache>
                <c:ptCount val="1"/>
                <c:pt idx="0">
                  <c:v>Suma z liczba sprzedanych lodów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'zad 5.2'!$A$4:$A$7</c:f>
              <c:strCache>
                <c:ptCount val="3"/>
                <c:pt idx="0">
                  <c:v>cze</c:v>
                </c:pt>
                <c:pt idx="1">
                  <c:v>lip</c:v>
                </c:pt>
                <c:pt idx="2">
                  <c:v>sie</c:v>
                </c:pt>
              </c:strCache>
            </c:strRef>
          </c:cat>
          <c:val>
            <c:numRef>
              <c:f>'zad 5.2'!$D$4:$D$7</c:f>
              <c:numCache>
                <c:formatCode>General</c:formatCode>
                <c:ptCount val="3"/>
                <c:pt idx="0">
                  <c:v>3527</c:v>
                </c:pt>
                <c:pt idx="1">
                  <c:v>3675</c:v>
                </c:pt>
                <c:pt idx="2">
                  <c:v>3579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39-462B-8974-6E798F9686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1347280"/>
        <c:axId val="311336240"/>
      </c:barChart>
      <c:catAx>
        <c:axId val="3113472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Miesiąc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11336240"/>
        <c:crosses val="autoZero"/>
        <c:auto val="1"/>
        <c:lblAlgn val="ctr"/>
        <c:lblOffset val="100"/>
        <c:noMultiLvlLbl val="0"/>
      </c:catAx>
      <c:valAx>
        <c:axId val="31133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</a:t>
                </a:r>
                <a:r>
                  <a:rPr lang="pl-PL" baseline="0"/>
                  <a:t> sprzedanych produktów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11347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438149</xdr:colOff>
      <xdr:row>2</xdr:row>
      <xdr:rowOff>95249</xdr:rowOff>
    </xdr:from>
    <xdr:to>
      <xdr:col>17</xdr:col>
      <xdr:colOff>542924</xdr:colOff>
      <xdr:row>26</xdr:row>
      <xdr:rowOff>9524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643D9943-EB4D-6534-CD7A-6B72C14675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zefitek" refreshedDate="46150.646503240743" createdVersion="8" refreshedVersion="8" minRefreshableVersion="3" recordCount="93" xr:uid="{F05C2C3F-6B3E-43F7-9568-99F14FC454F0}">
  <cacheSource type="worksheet">
    <worksheetSource ref="A1:E1048576" sheet="5.1, 5.3, 5.4 a"/>
  </cacheSource>
  <cacheFields count="7">
    <cacheField name="Data" numFmtId="0">
      <sharedItems containsNonDate="0" containsDate="1" containsString="0" containsBlank="1" minDate="2022-06-01T00:00:00" maxDate="2022-09-01T00:00:00" count="93"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m/>
      </sharedItems>
      <fieldGroup par="6"/>
    </cacheField>
    <cacheField name="Prognozowana temperatura" numFmtId="0">
      <sharedItems containsString="0" containsBlank="1" containsNumber="1" containsInteger="1" minValue="15" maxValue="33"/>
    </cacheField>
    <cacheField name="liczba sprzedanych lodów" numFmtId="0">
      <sharedItems containsString="0" containsBlank="1" containsNumber="1" containsInteger="1" minValue="82" maxValue="157"/>
    </cacheField>
    <cacheField name="liczba sprzedanych hot-dogów" numFmtId="0">
      <sharedItems containsString="0" containsBlank="1" containsNumber="1" containsInteger="1" minValue="58" maxValue="121"/>
    </cacheField>
    <cacheField name="liczba sprzedanej kukurydzy" numFmtId="0">
      <sharedItems containsString="0" containsBlank="1" containsNumber="1" containsInteger="1" minValue="58" maxValue="101"/>
    </cacheField>
    <cacheField name="Dni (Data)" numFmtId="0" databaseField="0">
      <fieldGroup base="0">
        <rangePr groupBy="days" startDate="2022-06-01T00:00:00" endDate="2022-09-01T00:00:00"/>
        <groupItems count="368">
          <s v="&lt;01.06.2022"/>
          <s v="01.sty"/>
          <s v="02.sty"/>
          <s v="03.sty"/>
          <s v="04.sty"/>
          <s v="05.sty"/>
          <s v="06.sty"/>
          <s v="07.sty"/>
          <s v="08.sty"/>
          <s v="0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01.lut"/>
          <s v="02.lut"/>
          <s v="03.lut"/>
          <s v="04.lut"/>
          <s v="05.lut"/>
          <s v="06.lut"/>
          <s v="07.lut"/>
          <s v="08.lut"/>
          <s v="0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kwi"/>
          <s v="02.kwi"/>
          <s v="03.kwi"/>
          <s v="04.kwi"/>
          <s v="05.kwi"/>
          <s v="06.kwi"/>
          <s v="07.kwi"/>
          <s v="08.kwi"/>
          <s v="0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01.maj"/>
          <s v="02.maj"/>
          <s v="03.maj"/>
          <s v="04.maj"/>
          <s v="05.maj"/>
          <s v="06.maj"/>
          <s v="07.maj"/>
          <s v="08.maj"/>
          <s v="0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01.cze"/>
          <s v="02.cze"/>
          <s v="03.cze"/>
          <s v="04.cze"/>
          <s v="05.cze"/>
          <s v="06.cze"/>
          <s v="07.cze"/>
          <s v="08.cze"/>
          <s v="0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01.lip"/>
          <s v="02.lip"/>
          <s v="03.lip"/>
          <s v="04.lip"/>
          <s v="05.lip"/>
          <s v="06.lip"/>
          <s v="07.lip"/>
          <s v="08.lip"/>
          <s v="0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01.sie"/>
          <s v="02.sie"/>
          <s v="03.sie"/>
          <s v="04.sie"/>
          <s v="05.sie"/>
          <s v="06.sie"/>
          <s v="07.sie"/>
          <s v="08.sie"/>
          <s v="0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01.wrz"/>
          <s v="02.wrz"/>
          <s v="03.wrz"/>
          <s v="04.wrz"/>
          <s v="05.wrz"/>
          <s v="06.wrz"/>
          <s v="07.wrz"/>
          <s v="08.wrz"/>
          <s v="0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01.paź"/>
          <s v="02.paź"/>
          <s v="03.paź"/>
          <s v="04.paź"/>
          <s v="05.paź"/>
          <s v="06.paź"/>
          <s v="07.paź"/>
          <s v="08.paź"/>
          <s v="0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01.lis"/>
          <s v="02.lis"/>
          <s v="03.lis"/>
          <s v="04.lis"/>
          <s v="05.lis"/>
          <s v="06.lis"/>
          <s v="07.lis"/>
          <s v="08.lis"/>
          <s v="0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01.gru"/>
          <s v="02.gru"/>
          <s v="03.gru"/>
          <s v="04.gru"/>
          <s v="05.gru"/>
          <s v="06.gru"/>
          <s v="07.gru"/>
          <s v="08.gru"/>
          <s v="0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01.09.2022"/>
        </groupItems>
      </fieldGroup>
    </cacheField>
    <cacheField name="Miesiące (Data)" numFmtId="0" databaseField="0">
      <fieldGroup base="0">
        <rangePr groupBy="months" startDate="2022-06-01T00:00:00" endDate="2022-09-01T00:00:00"/>
        <groupItems count="14">
          <s v="&lt;01.06.2022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1.09.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x v="0"/>
    <n v="24"/>
    <n v="120"/>
    <n v="90"/>
    <n v="80"/>
  </r>
  <r>
    <x v="1"/>
    <n v="25"/>
    <n v="124"/>
    <n v="93"/>
    <n v="82"/>
  </r>
  <r>
    <x v="2"/>
    <n v="27"/>
    <n v="132"/>
    <n v="100"/>
    <n v="87"/>
  </r>
  <r>
    <x v="3"/>
    <n v="27"/>
    <n v="132"/>
    <n v="100"/>
    <n v="87"/>
  </r>
  <r>
    <x v="4"/>
    <n v="27"/>
    <n v="132"/>
    <n v="100"/>
    <n v="87"/>
  </r>
  <r>
    <x v="5"/>
    <n v="22"/>
    <n v="111"/>
    <n v="83"/>
    <n v="75"/>
  </r>
  <r>
    <x v="6"/>
    <n v="25"/>
    <n v="124"/>
    <n v="93"/>
    <n v="82"/>
  </r>
  <r>
    <x v="7"/>
    <n v="25"/>
    <n v="124"/>
    <n v="93"/>
    <n v="82"/>
  </r>
  <r>
    <x v="8"/>
    <n v="21"/>
    <n v="107"/>
    <n v="79"/>
    <n v="72"/>
  </r>
  <r>
    <x v="9"/>
    <n v="21"/>
    <n v="107"/>
    <n v="79"/>
    <n v="72"/>
  </r>
  <r>
    <x v="10"/>
    <n v="19"/>
    <n v="99"/>
    <n v="72"/>
    <n v="68"/>
  </r>
  <r>
    <x v="11"/>
    <n v="19"/>
    <n v="99"/>
    <n v="72"/>
    <n v="68"/>
  </r>
  <r>
    <x v="12"/>
    <n v="15"/>
    <n v="82"/>
    <n v="58"/>
    <n v="58"/>
  </r>
  <r>
    <x v="13"/>
    <n v="21"/>
    <n v="107"/>
    <n v="79"/>
    <n v="72"/>
  </r>
  <r>
    <x v="14"/>
    <n v="23"/>
    <n v="115"/>
    <n v="86"/>
    <n v="77"/>
  </r>
  <r>
    <x v="15"/>
    <n v="23"/>
    <n v="115"/>
    <n v="86"/>
    <n v="77"/>
  </r>
  <r>
    <x v="16"/>
    <n v="16"/>
    <n v="86"/>
    <n v="62"/>
    <n v="61"/>
  </r>
  <r>
    <x v="17"/>
    <n v="21"/>
    <n v="107"/>
    <n v="79"/>
    <n v="72"/>
  </r>
  <r>
    <x v="18"/>
    <n v="22"/>
    <n v="111"/>
    <n v="83"/>
    <n v="75"/>
  </r>
  <r>
    <x v="19"/>
    <n v="22"/>
    <n v="111"/>
    <n v="83"/>
    <n v="75"/>
  </r>
  <r>
    <x v="20"/>
    <n v="22"/>
    <n v="111"/>
    <n v="83"/>
    <n v="75"/>
  </r>
  <r>
    <x v="21"/>
    <n v="28"/>
    <n v="136"/>
    <n v="103"/>
    <n v="89"/>
  </r>
  <r>
    <x v="22"/>
    <n v="31"/>
    <n v="148"/>
    <n v="114"/>
    <n v="96"/>
  </r>
  <r>
    <x v="23"/>
    <n v="33"/>
    <n v="157"/>
    <n v="121"/>
    <n v="101"/>
  </r>
  <r>
    <x v="24"/>
    <n v="33"/>
    <n v="157"/>
    <n v="121"/>
    <n v="101"/>
  </r>
  <r>
    <x v="25"/>
    <n v="23"/>
    <n v="115"/>
    <n v="86"/>
    <n v="77"/>
  </r>
  <r>
    <x v="26"/>
    <n v="23"/>
    <n v="115"/>
    <n v="86"/>
    <n v="77"/>
  </r>
  <r>
    <x v="27"/>
    <n v="19"/>
    <n v="99"/>
    <n v="72"/>
    <n v="68"/>
  </r>
  <r>
    <x v="28"/>
    <n v="24"/>
    <n v="120"/>
    <n v="90"/>
    <n v="80"/>
  </r>
  <r>
    <x v="29"/>
    <n v="25"/>
    <n v="124"/>
    <n v="93"/>
    <n v="82"/>
  </r>
  <r>
    <x v="30"/>
    <n v="27"/>
    <n v="132"/>
    <n v="100"/>
    <n v="87"/>
  </r>
  <r>
    <x v="31"/>
    <n v="27"/>
    <n v="132"/>
    <n v="100"/>
    <n v="87"/>
  </r>
  <r>
    <x v="32"/>
    <n v="21"/>
    <n v="107"/>
    <n v="79"/>
    <n v="72"/>
  </r>
  <r>
    <x v="33"/>
    <n v="21"/>
    <n v="107"/>
    <n v="79"/>
    <n v="72"/>
  </r>
  <r>
    <x v="34"/>
    <n v="25"/>
    <n v="124"/>
    <n v="93"/>
    <n v="82"/>
  </r>
  <r>
    <x v="35"/>
    <n v="19"/>
    <n v="99"/>
    <n v="72"/>
    <n v="68"/>
  </r>
  <r>
    <x v="36"/>
    <n v="21"/>
    <n v="107"/>
    <n v="79"/>
    <n v="72"/>
  </r>
  <r>
    <x v="37"/>
    <n v="24"/>
    <n v="120"/>
    <n v="90"/>
    <n v="80"/>
  </r>
  <r>
    <x v="38"/>
    <n v="19"/>
    <n v="99"/>
    <n v="72"/>
    <n v="68"/>
  </r>
  <r>
    <x v="39"/>
    <n v="28"/>
    <n v="136"/>
    <n v="103"/>
    <n v="89"/>
  </r>
  <r>
    <x v="40"/>
    <n v="27"/>
    <n v="132"/>
    <n v="100"/>
    <n v="87"/>
  </r>
  <r>
    <x v="41"/>
    <n v="24"/>
    <n v="120"/>
    <n v="90"/>
    <n v="80"/>
  </r>
  <r>
    <x v="42"/>
    <n v="22"/>
    <n v="111"/>
    <n v="83"/>
    <n v="75"/>
  </r>
  <r>
    <x v="43"/>
    <n v="17"/>
    <n v="91"/>
    <n v="65"/>
    <n v="63"/>
  </r>
  <r>
    <x v="44"/>
    <n v="18"/>
    <n v="95"/>
    <n v="69"/>
    <n v="65"/>
  </r>
  <r>
    <x v="45"/>
    <n v="23"/>
    <n v="115"/>
    <n v="86"/>
    <n v="77"/>
  </r>
  <r>
    <x v="46"/>
    <n v="23"/>
    <n v="115"/>
    <n v="86"/>
    <n v="77"/>
  </r>
  <r>
    <x v="47"/>
    <n v="19"/>
    <n v="99"/>
    <n v="72"/>
    <n v="68"/>
  </r>
  <r>
    <x v="48"/>
    <n v="21"/>
    <n v="107"/>
    <n v="79"/>
    <n v="72"/>
  </r>
  <r>
    <x v="49"/>
    <n v="25"/>
    <n v="124"/>
    <n v="93"/>
    <n v="82"/>
  </r>
  <r>
    <x v="50"/>
    <n v="28"/>
    <n v="136"/>
    <n v="103"/>
    <n v="89"/>
  </r>
  <r>
    <x v="51"/>
    <n v="27"/>
    <n v="132"/>
    <n v="100"/>
    <n v="87"/>
  </r>
  <r>
    <x v="52"/>
    <n v="23"/>
    <n v="115"/>
    <n v="86"/>
    <n v="77"/>
  </r>
  <r>
    <x v="53"/>
    <n v="26"/>
    <n v="128"/>
    <n v="96"/>
    <n v="84"/>
  </r>
  <r>
    <x v="54"/>
    <n v="29"/>
    <n v="140"/>
    <n v="107"/>
    <n v="91"/>
  </r>
  <r>
    <x v="55"/>
    <n v="26"/>
    <n v="128"/>
    <n v="96"/>
    <n v="84"/>
  </r>
  <r>
    <x v="56"/>
    <n v="27"/>
    <n v="132"/>
    <n v="100"/>
    <n v="87"/>
  </r>
  <r>
    <x v="57"/>
    <n v="24"/>
    <n v="120"/>
    <n v="90"/>
    <n v="80"/>
  </r>
  <r>
    <x v="58"/>
    <n v="26"/>
    <n v="128"/>
    <n v="96"/>
    <n v="84"/>
  </r>
  <r>
    <x v="59"/>
    <n v="25"/>
    <n v="124"/>
    <n v="93"/>
    <n v="82"/>
  </r>
  <r>
    <x v="60"/>
    <n v="24"/>
    <n v="120"/>
    <n v="90"/>
    <n v="80"/>
  </r>
  <r>
    <x v="61"/>
    <n v="22"/>
    <n v="111"/>
    <n v="83"/>
    <n v="75"/>
  </r>
  <r>
    <x v="62"/>
    <n v="19"/>
    <n v="99"/>
    <n v="72"/>
    <n v="68"/>
  </r>
  <r>
    <x v="63"/>
    <n v="21"/>
    <n v="107"/>
    <n v="79"/>
    <n v="72"/>
  </r>
  <r>
    <x v="64"/>
    <n v="26"/>
    <n v="128"/>
    <n v="96"/>
    <n v="84"/>
  </r>
  <r>
    <x v="65"/>
    <n v="19"/>
    <n v="99"/>
    <n v="72"/>
    <n v="68"/>
  </r>
  <r>
    <x v="66"/>
    <n v="21"/>
    <n v="107"/>
    <n v="79"/>
    <n v="72"/>
  </r>
  <r>
    <x v="67"/>
    <n v="23"/>
    <n v="115"/>
    <n v="86"/>
    <n v="77"/>
  </r>
  <r>
    <x v="68"/>
    <n v="27"/>
    <n v="132"/>
    <n v="100"/>
    <n v="87"/>
  </r>
  <r>
    <x v="69"/>
    <n v="20"/>
    <n v="103"/>
    <n v="76"/>
    <n v="70"/>
  </r>
  <r>
    <x v="70"/>
    <n v="18"/>
    <n v="95"/>
    <n v="69"/>
    <n v="65"/>
  </r>
  <r>
    <x v="71"/>
    <n v="17"/>
    <n v="91"/>
    <n v="65"/>
    <n v="63"/>
  </r>
  <r>
    <x v="72"/>
    <n v="19"/>
    <n v="99"/>
    <n v="72"/>
    <n v="68"/>
  </r>
  <r>
    <x v="73"/>
    <n v="26"/>
    <n v="128"/>
    <n v="96"/>
    <n v="84"/>
  </r>
  <r>
    <x v="74"/>
    <n v="21"/>
    <n v="107"/>
    <n v="79"/>
    <n v="72"/>
  </r>
  <r>
    <x v="75"/>
    <n v="19"/>
    <n v="99"/>
    <n v="72"/>
    <n v="68"/>
  </r>
  <r>
    <x v="76"/>
    <n v="19"/>
    <n v="99"/>
    <n v="72"/>
    <n v="68"/>
  </r>
  <r>
    <x v="77"/>
    <n v="21"/>
    <n v="107"/>
    <n v="79"/>
    <n v="72"/>
  </r>
  <r>
    <x v="78"/>
    <n v="21"/>
    <n v="107"/>
    <n v="79"/>
    <n v="72"/>
  </r>
  <r>
    <x v="79"/>
    <n v="24"/>
    <n v="120"/>
    <n v="90"/>
    <n v="80"/>
  </r>
  <r>
    <x v="80"/>
    <n v="26"/>
    <n v="128"/>
    <n v="96"/>
    <n v="84"/>
  </r>
  <r>
    <x v="81"/>
    <n v="23"/>
    <n v="115"/>
    <n v="86"/>
    <n v="77"/>
  </r>
  <r>
    <x v="82"/>
    <n v="23"/>
    <n v="115"/>
    <n v="86"/>
    <n v="77"/>
  </r>
  <r>
    <x v="83"/>
    <n v="24"/>
    <n v="120"/>
    <n v="90"/>
    <n v="80"/>
  </r>
  <r>
    <x v="84"/>
    <n v="26"/>
    <n v="128"/>
    <n v="96"/>
    <n v="84"/>
  </r>
  <r>
    <x v="85"/>
    <n v="28"/>
    <n v="136"/>
    <n v="103"/>
    <n v="89"/>
  </r>
  <r>
    <x v="86"/>
    <n v="32"/>
    <n v="153"/>
    <n v="117"/>
    <n v="98"/>
  </r>
  <r>
    <x v="87"/>
    <n v="26"/>
    <n v="128"/>
    <n v="96"/>
    <n v="84"/>
  </r>
  <r>
    <x v="88"/>
    <n v="32"/>
    <n v="153"/>
    <n v="117"/>
    <n v="98"/>
  </r>
  <r>
    <x v="89"/>
    <n v="23"/>
    <n v="115"/>
    <n v="86"/>
    <n v="77"/>
  </r>
  <r>
    <x v="90"/>
    <n v="22"/>
    <n v="111"/>
    <n v="83"/>
    <n v="75"/>
  </r>
  <r>
    <x v="91"/>
    <n v="25"/>
    <n v="124"/>
    <n v="93"/>
    <n v="82"/>
  </r>
  <r>
    <x v="9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BFB640-F70E-46C1-A7EB-E105421E7B4F}" name="Tabela przestawna1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4">
  <location ref="A3:D7" firstHeaderRow="0" firstDataRow="1" firstDataCol="1"/>
  <pivotFields count="7">
    <pivotField axis="axisRow" showAll="0">
      <items count="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showAll="0"/>
    <pivotField dataField="1" showAll="0"/>
    <pivotField dataField="1"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6"/>
    <field x="0"/>
  </rowFields>
  <rowItems count="4"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z liczba sprzedanej kukurydzy" fld="4" baseField="0" baseItem="0"/>
    <dataField name="Suma z liczba sprzedanych hot-dogów" fld="3" baseField="0" baseItem="0"/>
    <dataField name="Suma z liczba sprzedanych lodów" fld="2" baseField="0" baseItem="0"/>
  </dataField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mperatury" connectionId="2" xr16:uid="{FDA1D2ED-8499-42A6-B0CE-8AAC21A41F62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mperatury" connectionId="1" xr16:uid="{DC8F7835-5F61-4BCA-AF4A-338886FFFC74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EBB37-2130-42C8-92DC-41228AD12C5B}">
  <dimension ref="A1:K123"/>
  <sheetViews>
    <sheetView topLeftCell="A85" workbookViewId="0">
      <selection activeCell="E14" sqref="E14"/>
    </sheetView>
  </sheetViews>
  <sheetFormatPr defaultRowHeight="15" x14ac:dyDescent="0.25"/>
  <cols>
    <col min="1" max="1" width="13" customWidth="1"/>
    <col min="2" max="2" width="26.140625" bestFit="1" customWidth="1"/>
    <col min="3" max="3" width="23.85546875" bestFit="1" customWidth="1"/>
    <col min="4" max="4" width="28.140625" bestFit="1" customWidth="1"/>
    <col min="5" max="5" width="26.140625" bestFit="1" customWidth="1"/>
    <col min="6" max="6" width="27.42578125" style="8" bestFit="1" customWidth="1"/>
    <col min="7" max="7" width="31.7109375" style="8" bestFit="1" customWidth="1"/>
    <col min="8" max="8" width="31" style="8" bestFit="1" customWidth="1"/>
    <col min="9" max="9" width="24.28515625" bestFit="1" customWidth="1"/>
    <col min="10" max="10" width="34" bestFit="1" customWidth="1"/>
    <col min="11" max="11" width="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8" t="s">
        <v>5</v>
      </c>
      <c r="G1" s="8" t="s">
        <v>6</v>
      </c>
      <c r="H1" s="8" t="s">
        <v>7</v>
      </c>
      <c r="I1" t="s">
        <v>8</v>
      </c>
      <c r="J1" t="s">
        <v>9</v>
      </c>
    </row>
    <row r="2" spans="1:10" x14ac:dyDescent="0.25">
      <c r="A2" s="1">
        <v>44713</v>
      </c>
      <c r="B2">
        <v>24</v>
      </c>
      <c r="C2">
        <v>120</v>
      </c>
      <c r="D2">
        <v>90</v>
      </c>
      <c r="E2">
        <v>80</v>
      </c>
      <c r="F2" s="8">
        <f>C2*(5+$K$119)</f>
        <v>760.8</v>
      </c>
      <c r="G2" s="8">
        <f>D2*(7+$K$119)</f>
        <v>750.6</v>
      </c>
      <c r="H2" s="8">
        <f>E2*(6+$K$119)</f>
        <v>587.20000000000005</v>
      </c>
      <c r="I2">
        <f>F2+G2+H2</f>
        <v>2098.6000000000004</v>
      </c>
      <c r="J2">
        <v>1710</v>
      </c>
    </row>
    <row r="3" spans="1:10" x14ac:dyDescent="0.25">
      <c r="A3" s="1">
        <v>44714</v>
      </c>
      <c r="B3">
        <v>25</v>
      </c>
      <c r="C3">
        <f>ROUNDDOWN(($C$2*(1 + ((2/29) * ((B3 - 24)/2)))),0)</f>
        <v>124</v>
      </c>
      <c r="D3">
        <f>ROUNDDOWN(($D$2*(1 + ((1/13) * ((B3 - 24)/2)))),0)</f>
        <v>93</v>
      </c>
      <c r="E3">
        <f>ROUNDDOWN(($E$2*(1 + ((1/17) * ((B3 - 24)/2)))),0)</f>
        <v>82</v>
      </c>
      <c r="F3" s="8">
        <f t="shared" ref="F3:F66" si="0">C3*(5+$K$119)</f>
        <v>786.16</v>
      </c>
      <c r="G3" s="8">
        <f t="shared" ref="G3:G66" si="1">D3*(7+$K$119)</f>
        <v>775.62</v>
      </c>
      <c r="H3" s="8">
        <f t="shared" ref="H3:H66" si="2">E3*(6+$K$119)</f>
        <v>601.88</v>
      </c>
      <c r="I3">
        <f t="shared" ref="I3:I66" si="3">F3+G3+H3</f>
        <v>2163.66</v>
      </c>
      <c r="J3">
        <f>J2+I3</f>
        <v>3873.66</v>
      </c>
    </row>
    <row r="4" spans="1:10" x14ac:dyDescent="0.25">
      <c r="A4" s="1">
        <v>44715</v>
      </c>
      <c r="B4">
        <v>27</v>
      </c>
      <c r="C4">
        <f t="shared" ref="C4:C67" si="4">ROUNDDOWN(($C$2*(1 + ((2/29) * ((B4 - 24)/2)))),0)</f>
        <v>132</v>
      </c>
      <c r="D4">
        <f t="shared" ref="D4:D67" si="5">ROUNDDOWN(($D$2*(1 + ((1/13) * ((B4 - 24)/2)))),0)</f>
        <v>100</v>
      </c>
      <c r="E4">
        <f t="shared" ref="E4:E67" si="6">ROUNDDOWN(($E$2*(1 + ((1/17) * ((B4 - 24)/2)))),0)</f>
        <v>87</v>
      </c>
      <c r="F4" s="8">
        <f t="shared" si="0"/>
        <v>836.88</v>
      </c>
      <c r="G4" s="8">
        <f t="shared" si="1"/>
        <v>834</v>
      </c>
      <c r="H4" s="8">
        <f t="shared" si="2"/>
        <v>638.58000000000004</v>
      </c>
      <c r="I4">
        <f t="shared" si="3"/>
        <v>2309.46</v>
      </c>
      <c r="J4">
        <f t="shared" ref="J4:J67" si="7">J3+I4</f>
        <v>6183.12</v>
      </c>
    </row>
    <row r="5" spans="1:10" x14ac:dyDescent="0.25">
      <c r="A5" s="1">
        <v>44716</v>
      </c>
      <c r="B5">
        <v>27</v>
      </c>
      <c r="C5">
        <f t="shared" si="4"/>
        <v>132</v>
      </c>
      <c r="D5">
        <f t="shared" si="5"/>
        <v>100</v>
      </c>
      <c r="E5">
        <f t="shared" si="6"/>
        <v>87</v>
      </c>
      <c r="F5" s="8">
        <f t="shared" si="0"/>
        <v>836.88</v>
      </c>
      <c r="G5" s="8">
        <f t="shared" si="1"/>
        <v>834</v>
      </c>
      <c r="H5" s="8">
        <f t="shared" si="2"/>
        <v>638.58000000000004</v>
      </c>
      <c r="I5">
        <f t="shared" si="3"/>
        <v>2309.46</v>
      </c>
      <c r="J5">
        <f t="shared" si="7"/>
        <v>8492.58</v>
      </c>
    </row>
    <row r="6" spans="1:10" x14ac:dyDescent="0.25">
      <c r="A6" s="1">
        <v>44717</v>
      </c>
      <c r="B6">
        <v>27</v>
      </c>
      <c r="C6">
        <f t="shared" si="4"/>
        <v>132</v>
      </c>
      <c r="D6">
        <f t="shared" si="5"/>
        <v>100</v>
      </c>
      <c r="E6">
        <f t="shared" si="6"/>
        <v>87</v>
      </c>
      <c r="F6" s="8">
        <f t="shared" si="0"/>
        <v>836.88</v>
      </c>
      <c r="G6" s="8">
        <f t="shared" si="1"/>
        <v>834</v>
      </c>
      <c r="H6" s="8">
        <f t="shared" si="2"/>
        <v>638.58000000000004</v>
      </c>
      <c r="I6">
        <f t="shared" si="3"/>
        <v>2309.46</v>
      </c>
      <c r="J6">
        <f t="shared" si="7"/>
        <v>10802.04</v>
      </c>
    </row>
    <row r="7" spans="1:10" x14ac:dyDescent="0.25">
      <c r="A7" s="1">
        <v>44718</v>
      </c>
      <c r="B7">
        <v>22</v>
      </c>
      <c r="C7">
        <f t="shared" si="4"/>
        <v>111</v>
      </c>
      <c r="D7">
        <f t="shared" si="5"/>
        <v>83</v>
      </c>
      <c r="E7">
        <f t="shared" si="6"/>
        <v>75</v>
      </c>
      <c r="F7" s="8">
        <f t="shared" si="0"/>
        <v>703.74</v>
      </c>
      <c r="G7" s="8">
        <f t="shared" si="1"/>
        <v>692.22</v>
      </c>
      <c r="H7" s="8">
        <f t="shared" si="2"/>
        <v>550.5</v>
      </c>
      <c r="I7">
        <f t="shared" si="3"/>
        <v>1946.46</v>
      </c>
      <c r="J7">
        <f t="shared" si="7"/>
        <v>12748.5</v>
      </c>
    </row>
    <row r="8" spans="1:10" x14ac:dyDescent="0.25">
      <c r="A8" s="1">
        <v>44719</v>
      </c>
      <c r="B8">
        <v>25</v>
      </c>
      <c r="C8">
        <f t="shared" si="4"/>
        <v>124</v>
      </c>
      <c r="D8">
        <f t="shared" si="5"/>
        <v>93</v>
      </c>
      <c r="E8">
        <f t="shared" si="6"/>
        <v>82</v>
      </c>
      <c r="F8" s="8">
        <f t="shared" si="0"/>
        <v>786.16</v>
      </c>
      <c r="G8" s="8">
        <f t="shared" si="1"/>
        <v>775.62</v>
      </c>
      <c r="H8" s="8">
        <f t="shared" si="2"/>
        <v>601.88</v>
      </c>
      <c r="I8">
        <f t="shared" si="3"/>
        <v>2163.66</v>
      </c>
      <c r="J8">
        <f t="shared" si="7"/>
        <v>14912.16</v>
      </c>
    </row>
    <row r="9" spans="1:10" x14ac:dyDescent="0.25">
      <c r="A9" s="1">
        <v>44720</v>
      </c>
      <c r="B9">
        <v>25</v>
      </c>
      <c r="C9">
        <f t="shared" si="4"/>
        <v>124</v>
      </c>
      <c r="D9">
        <f t="shared" si="5"/>
        <v>93</v>
      </c>
      <c r="E9">
        <f t="shared" si="6"/>
        <v>82</v>
      </c>
      <c r="F9" s="8">
        <f t="shared" si="0"/>
        <v>786.16</v>
      </c>
      <c r="G9" s="8">
        <f t="shared" si="1"/>
        <v>775.62</v>
      </c>
      <c r="H9" s="8">
        <f t="shared" si="2"/>
        <v>601.88</v>
      </c>
      <c r="I9">
        <f t="shared" si="3"/>
        <v>2163.66</v>
      </c>
      <c r="J9">
        <f t="shared" si="7"/>
        <v>17075.82</v>
      </c>
    </row>
    <row r="10" spans="1:10" x14ac:dyDescent="0.25">
      <c r="A10" s="1">
        <v>44721</v>
      </c>
      <c r="B10">
        <v>21</v>
      </c>
      <c r="C10">
        <f t="shared" si="4"/>
        <v>107</v>
      </c>
      <c r="D10">
        <f t="shared" si="5"/>
        <v>79</v>
      </c>
      <c r="E10">
        <f t="shared" si="6"/>
        <v>72</v>
      </c>
      <c r="F10" s="8">
        <f t="shared" si="0"/>
        <v>678.38</v>
      </c>
      <c r="G10" s="8">
        <f t="shared" si="1"/>
        <v>658.86</v>
      </c>
      <c r="H10" s="8">
        <f t="shared" si="2"/>
        <v>528.48</v>
      </c>
      <c r="I10">
        <f t="shared" si="3"/>
        <v>1865.72</v>
      </c>
      <c r="J10">
        <f t="shared" si="7"/>
        <v>18941.54</v>
      </c>
    </row>
    <row r="11" spans="1:10" x14ac:dyDescent="0.25">
      <c r="A11" s="1">
        <v>44722</v>
      </c>
      <c r="B11">
        <v>21</v>
      </c>
      <c r="C11">
        <f t="shared" si="4"/>
        <v>107</v>
      </c>
      <c r="D11">
        <f t="shared" si="5"/>
        <v>79</v>
      </c>
      <c r="E11">
        <f t="shared" si="6"/>
        <v>72</v>
      </c>
      <c r="F11" s="8">
        <f t="shared" si="0"/>
        <v>678.38</v>
      </c>
      <c r="G11" s="8">
        <f t="shared" si="1"/>
        <v>658.86</v>
      </c>
      <c r="H11" s="8">
        <f t="shared" si="2"/>
        <v>528.48</v>
      </c>
      <c r="I11">
        <f t="shared" si="3"/>
        <v>1865.72</v>
      </c>
      <c r="J11">
        <f t="shared" si="7"/>
        <v>20807.260000000002</v>
      </c>
    </row>
    <row r="12" spans="1:10" x14ac:dyDescent="0.25">
      <c r="A12" s="1">
        <v>44723</v>
      </c>
      <c r="B12">
        <v>19</v>
      </c>
      <c r="C12">
        <f t="shared" si="4"/>
        <v>99</v>
      </c>
      <c r="D12">
        <f t="shared" si="5"/>
        <v>72</v>
      </c>
      <c r="E12">
        <f t="shared" si="6"/>
        <v>68</v>
      </c>
      <c r="F12" s="8">
        <f t="shared" si="0"/>
        <v>627.66</v>
      </c>
      <c r="G12" s="8">
        <f t="shared" si="1"/>
        <v>600.48</v>
      </c>
      <c r="H12" s="8">
        <f t="shared" si="2"/>
        <v>499.12</v>
      </c>
      <c r="I12">
        <f t="shared" si="3"/>
        <v>1727.2599999999998</v>
      </c>
      <c r="J12">
        <f t="shared" si="7"/>
        <v>22534.52</v>
      </c>
    </row>
    <row r="13" spans="1:10" x14ac:dyDescent="0.25">
      <c r="A13" s="1">
        <v>44724</v>
      </c>
      <c r="B13">
        <v>19</v>
      </c>
      <c r="C13">
        <f t="shared" si="4"/>
        <v>99</v>
      </c>
      <c r="D13">
        <f t="shared" si="5"/>
        <v>72</v>
      </c>
      <c r="E13">
        <f t="shared" si="6"/>
        <v>68</v>
      </c>
      <c r="F13" s="8">
        <f t="shared" si="0"/>
        <v>627.66</v>
      </c>
      <c r="G13" s="8">
        <f t="shared" si="1"/>
        <v>600.48</v>
      </c>
      <c r="H13" s="8">
        <f t="shared" si="2"/>
        <v>499.12</v>
      </c>
      <c r="I13">
        <f t="shared" si="3"/>
        <v>1727.2599999999998</v>
      </c>
      <c r="J13">
        <f t="shared" si="7"/>
        <v>24261.78</v>
      </c>
    </row>
    <row r="14" spans="1:10" x14ac:dyDescent="0.25">
      <c r="A14" s="1">
        <v>44725</v>
      </c>
      <c r="B14">
        <v>15</v>
      </c>
      <c r="C14">
        <f t="shared" si="4"/>
        <v>82</v>
      </c>
      <c r="D14">
        <f t="shared" si="5"/>
        <v>58</v>
      </c>
      <c r="E14">
        <f t="shared" si="6"/>
        <v>58</v>
      </c>
      <c r="F14" s="8">
        <f t="shared" si="0"/>
        <v>519.88</v>
      </c>
      <c r="G14" s="8">
        <f t="shared" si="1"/>
        <v>483.71999999999997</v>
      </c>
      <c r="H14" s="8">
        <f t="shared" si="2"/>
        <v>425.71999999999997</v>
      </c>
      <c r="I14">
        <f t="shared" si="3"/>
        <v>1429.32</v>
      </c>
      <c r="J14">
        <f t="shared" si="7"/>
        <v>25691.1</v>
      </c>
    </row>
    <row r="15" spans="1:10" x14ac:dyDescent="0.25">
      <c r="A15" s="1">
        <v>44726</v>
      </c>
      <c r="B15">
        <v>21</v>
      </c>
      <c r="C15">
        <f t="shared" si="4"/>
        <v>107</v>
      </c>
      <c r="D15">
        <f t="shared" si="5"/>
        <v>79</v>
      </c>
      <c r="E15">
        <f t="shared" si="6"/>
        <v>72</v>
      </c>
      <c r="F15" s="8">
        <f t="shared" si="0"/>
        <v>678.38</v>
      </c>
      <c r="G15" s="8">
        <f t="shared" si="1"/>
        <v>658.86</v>
      </c>
      <c r="H15" s="8">
        <f t="shared" si="2"/>
        <v>528.48</v>
      </c>
      <c r="I15">
        <f t="shared" si="3"/>
        <v>1865.72</v>
      </c>
      <c r="J15">
        <f t="shared" si="7"/>
        <v>27556.82</v>
      </c>
    </row>
    <row r="16" spans="1:10" x14ac:dyDescent="0.25">
      <c r="A16" s="1">
        <v>44727</v>
      </c>
      <c r="B16">
        <v>23</v>
      </c>
      <c r="C16">
        <f t="shared" si="4"/>
        <v>115</v>
      </c>
      <c r="D16">
        <f t="shared" si="5"/>
        <v>86</v>
      </c>
      <c r="E16">
        <f t="shared" si="6"/>
        <v>77</v>
      </c>
      <c r="F16" s="8">
        <f t="shared" si="0"/>
        <v>729.1</v>
      </c>
      <c r="G16" s="8">
        <f t="shared" si="1"/>
        <v>717.24</v>
      </c>
      <c r="H16" s="8">
        <f t="shared" si="2"/>
        <v>565.17999999999995</v>
      </c>
      <c r="I16">
        <f t="shared" si="3"/>
        <v>2011.52</v>
      </c>
      <c r="J16">
        <f t="shared" si="7"/>
        <v>29568.34</v>
      </c>
    </row>
    <row r="17" spans="1:10" x14ac:dyDescent="0.25">
      <c r="A17" s="1">
        <v>44728</v>
      </c>
      <c r="B17">
        <v>23</v>
      </c>
      <c r="C17">
        <f t="shared" si="4"/>
        <v>115</v>
      </c>
      <c r="D17">
        <f t="shared" si="5"/>
        <v>86</v>
      </c>
      <c r="E17">
        <f t="shared" si="6"/>
        <v>77</v>
      </c>
      <c r="F17" s="8">
        <f t="shared" si="0"/>
        <v>729.1</v>
      </c>
      <c r="G17" s="8">
        <f t="shared" si="1"/>
        <v>717.24</v>
      </c>
      <c r="H17" s="8">
        <f t="shared" si="2"/>
        <v>565.17999999999995</v>
      </c>
      <c r="I17">
        <f t="shared" si="3"/>
        <v>2011.52</v>
      </c>
      <c r="J17">
        <f t="shared" si="7"/>
        <v>31579.86</v>
      </c>
    </row>
    <row r="18" spans="1:10" x14ac:dyDescent="0.25">
      <c r="A18" s="1">
        <v>44729</v>
      </c>
      <c r="B18">
        <v>16</v>
      </c>
      <c r="C18">
        <f t="shared" si="4"/>
        <v>86</v>
      </c>
      <c r="D18">
        <f t="shared" si="5"/>
        <v>62</v>
      </c>
      <c r="E18">
        <f t="shared" si="6"/>
        <v>61</v>
      </c>
      <c r="F18" s="8">
        <f t="shared" si="0"/>
        <v>545.24</v>
      </c>
      <c r="G18" s="8">
        <f t="shared" si="1"/>
        <v>517.08000000000004</v>
      </c>
      <c r="H18" s="8">
        <f t="shared" si="2"/>
        <v>447.74</v>
      </c>
      <c r="I18">
        <f t="shared" si="3"/>
        <v>1510.0600000000002</v>
      </c>
      <c r="J18">
        <f t="shared" si="7"/>
        <v>33089.919999999998</v>
      </c>
    </row>
    <row r="19" spans="1:10" x14ac:dyDescent="0.25">
      <c r="A19" s="1">
        <v>44730</v>
      </c>
      <c r="B19">
        <v>21</v>
      </c>
      <c r="C19">
        <f t="shared" si="4"/>
        <v>107</v>
      </c>
      <c r="D19">
        <f t="shared" si="5"/>
        <v>79</v>
      </c>
      <c r="E19">
        <f t="shared" si="6"/>
        <v>72</v>
      </c>
      <c r="F19" s="8">
        <f t="shared" si="0"/>
        <v>678.38</v>
      </c>
      <c r="G19" s="8">
        <f t="shared" si="1"/>
        <v>658.86</v>
      </c>
      <c r="H19" s="8">
        <f t="shared" si="2"/>
        <v>528.48</v>
      </c>
      <c r="I19">
        <f t="shared" si="3"/>
        <v>1865.72</v>
      </c>
      <c r="J19">
        <f t="shared" si="7"/>
        <v>34955.64</v>
      </c>
    </row>
    <row r="20" spans="1:10" x14ac:dyDescent="0.25">
      <c r="A20" s="1">
        <v>44731</v>
      </c>
      <c r="B20">
        <v>22</v>
      </c>
      <c r="C20">
        <f t="shared" si="4"/>
        <v>111</v>
      </c>
      <c r="D20">
        <f t="shared" si="5"/>
        <v>83</v>
      </c>
      <c r="E20">
        <f t="shared" si="6"/>
        <v>75</v>
      </c>
      <c r="F20" s="8">
        <f t="shared" si="0"/>
        <v>703.74</v>
      </c>
      <c r="G20" s="8">
        <f t="shared" si="1"/>
        <v>692.22</v>
      </c>
      <c r="H20" s="8">
        <f t="shared" si="2"/>
        <v>550.5</v>
      </c>
      <c r="I20">
        <f t="shared" si="3"/>
        <v>1946.46</v>
      </c>
      <c r="J20">
        <f t="shared" si="7"/>
        <v>36902.1</v>
      </c>
    </row>
    <row r="21" spans="1:10" x14ac:dyDescent="0.25">
      <c r="A21" s="1">
        <v>44732</v>
      </c>
      <c r="B21">
        <v>22</v>
      </c>
      <c r="C21">
        <f t="shared" si="4"/>
        <v>111</v>
      </c>
      <c r="D21">
        <f t="shared" si="5"/>
        <v>83</v>
      </c>
      <c r="E21">
        <f t="shared" si="6"/>
        <v>75</v>
      </c>
      <c r="F21" s="8">
        <f t="shared" si="0"/>
        <v>703.74</v>
      </c>
      <c r="G21" s="8">
        <f t="shared" si="1"/>
        <v>692.22</v>
      </c>
      <c r="H21" s="8">
        <f t="shared" si="2"/>
        <v>550.5</v>
      </c>
      <c r="I21">
        <f t="shared" si="3"/>
        <v>1946.46</v>
      </c>
      <c r="J21">
        <f t="shared" si="7"/>
        <v>38848.559999999998</v>
      </c>
    </row>
    <row r="22" spans="1:10" x14ac:dyDescent="0.25">
      <c r="A22" s="1">
        <v>44733</v>
      </c>
      <c r="B22">
        <v>22</v>
      </c>
      <c r="C22">
        <f t="shared" si="4"/>
        <v>111</v>
      </c>
      <c r="D22">
        <f t="shared" si="5"/>
        <v>83</v>
      </c>
      <c r="E22">
        <f t="shared" si="6"/>
        <v>75</v>
      </c>
      <c r="F22" s="8">
        <f t="shared" si="0"/>
        <v>703.74</v>
      </c>
      <c r="G22" s="8">
        <f t="shared" si="1"/>
        <v>692.22</v>
      </c>
      <c r="H22" s="8">
        <f t="shared" si="2"/>
        <v>550.5</v>
      </c>
      <c r="I22">
        <f t="shared" si="3"/>
        <v>1946.46</v>
      </c>
      <c r="J22">
        <f t="shared" si="7"/>
        <v>40795.019999999997</v>
      </c>
    </row>
    <row r="23" spans="1:10" x14ac:dyDescent="0.25">
      <c r="A23" s="1">
        <v>44734</v>
      </c>
      <c r="B23">
        <v>28</v>
      </c>
      <c r="C23">
        <f t="shared" si="4"/>
        <v>136</v>
      </c>
      <c r="D23">
        <f t="shared" si="5"/>
        <v>103</v>
      </c>
      <c r="E23">
        <f t="shared" si="6"/>
        <v>89</v>
      </c>
      <c r="F23" s="8">
        <f t="shared" si="0"/>
        <v>862.24</v>
      </c>
      <c r="G23" s="8">
        <f t="shared" si="1"/>
        <v>859.02</v>
      </c>
      <c r="H23" s="8">
        <f t="shared" si="2"/>
        <v>653.26</v>
      </c>
      <c r="I23">
        <f t="shared" si="3"/>
        <v>2374.52</v>
      </c>
      <c r="J23">
        <f t="shared" si="7"/>
        <v>43169.539999999994</v>
      </c>
    </row>
    <row r="24" spans="1:10" x14ac:dyDescent="0.25">
      <c r="A24" s="1">
        <v>44735</v>
      </c>
      <c r="B24">
        <v>31</v>
      </c>
      <c r="C24">
        <f t="shared" si="4"/>
        <v>148</v>
      </c>
      <c r="D24">
        <f t="shared" si="5"/>
        <v>114</v>
      </c>
      <c r="E24">
        <f t="shared" si="6"/>
        <v>96</v>
      </c>
      <c r="F24" s="8">
        <f t="shared" si="0"/>
        <v>938.31999999999994</v>
      </c>
      <c r="G24" s="8">
        <f t="shared" si="1"/>
        <v>950.76</v>
      </c>
      <c r="H24" s="8">
        <f t="shared" si="2"/>
        <v>704.64</v>
      </c>
      <c r="I24">
        <f t="shared" si="3"/>
        <v>2593.7199999999998</v>
      </c>
      <c r="J24">
        <f t="shared" si="7"/>
        <v>45763.259999999995</v>
      </c>
    </row>
    <row r="25" spans="1:10" x14ac:dyDescent="0.25">
      <c r="A25" s="1">
        <v>44736</v>
      </c>
      <c r="B25">
        <v>33</v>
      </c>
      <c r="C25">
        <f t="shared" si="4"/>
        <v>157</v>
      </c>
      <c r="D25">
        <f t="shared" si="5"/>
        <v>121</v>
      </c>
      <c r="E25">
        <f t="shared" si="6"/>
        <v>101</v>
      </c>
      <c r="F25" s="8">
        <f t="shared" si="0"/>
        <v>995.38</v>
      </c>
      <c r="G25" s="8">
        <f t="shared" si="1"/>
        <v>1009.14</v>
      </c>
      <c r="H25" s="8">
        <f t="shared" si="2"/>
        <v>741.34</v>
      </c>
      <c r="I25">
        <f t="shared" si="3"/>
        <v>2745.86</v>
      </c>
      <c r="J25">
        <f t="shared" si="7"/>
        <v>48509.119999999995</v>
      </c>
    </row>
    <row r="26" spans="1:10" x14ac:dyDescent="0.25">
      <c r="A26" s="1">
        <v>44737</v>
      </c>
      <c r="B26">
        <v>33</v>
      </c>
      <c r="C26">
        <f t="shared" si="4"/>
        <v>157</v>
      </c>
      <c r="D26">
        <f t="shared" si="5"/>
        <v>121</v>
      </c>
      <c r="E26">
        <f t="shared" si="6"/>
        <v>101</v>
      </c>
      <c r="F26" s="8">
        <f t="shared" si="0"/>
        <v>995.38</v>
      </c>
      <c r="G26" s="8">
        <f t="shared" si="1"/>
        <v>1009.14</v>
      </c>
      <c r="H26" s="8">
        <f t="shared" si="2"/>
        <v>741.34</v>
      </c>
      <c r="I26">
        <f t="shared" si="3"/>
        <v>2745.86</v>
      </c>
      <c r="J26">
        <f t="shared" si="7"/>
        <v>51254.979999999996</v>
      </c>
    </row>
    <row r="27" spans="1:10" x14ac:dyDescent="0.25">
      <c r="A27" s="1">
        <v>44738</v>
      </c>
      <c r="B27">
        <v>23</v>
      </c>
      <c r="C27">
        <f t="shared" si="4"/>
        <v>115</v>
      </c>
      <c r="D27">
        <f t="shared" si="5"/>
        <v>86</v>
      </c>
      <c r="E27">
        <f t="shared" si="6"/>
        <v>77</v>
      </c>
      <c r="F27" s="8">
        <f t="shared" si="0"/>
        <v>729.1</v>
      </c>
      <c r="G27" s="8">
        <f t="shared" si="1"/>
        <v>717.24</v>
      </c>
      <c r="H27" s="8">
        <f t="shared" si="2"/>
        <v>565.17999999999995</v>
      </c>
      <c r="I27">
        <f t="shared" si="3"/>
        <v>2011.52</v>
      </c>
      <c r="J27">
        <f t="shared" si="7"/>
        <v>53266.499999999993</v>
      </c>
    </row>
    <row r="28" spans="1:10" x14ac:dyDescent="0.25">
      <c r="A28" s="10">
        <v>44739</v>
      </c>
      <c r="B28" s="11">
        <v>23</v>
      </c>
      <c r="C28" s="11">
        <f t="shared" si="4"/>
        <v>115</v>
      </c>
      <c r="D28" s="11">
        <f t="shared" si="5"/>
        <v>86</v>
      </c>
      <c r="E28" s="11">
        <f t="shared" si="6"/>
        <v>77</v>
      </c>
      <c r="F28" s="12">
        <f t="shared" si="0"/>
        <v>729.1</v>
      </c>
      <c r="G28" s="12">
        <f t="shared" si="1"/>
        <v>717.24</v>
      </c>
      <c r="H28" s="12">
        <f t="shared" si="2"/>
        <v>565.17999999999995</v>
      </c>
      <c r="I28" s="11">
        <f t="shared" si="3"/>
        <v>2011.52</v>
      </c>
      <c r="J28" s="11">
        <f t="shared" si="7"/>
        <v>55278.01999999999</v>
      </c>
    </row>
    <row r="29" spans="1:10" x14ac:dyDescent="0.25">
      <c r="A29" s="1">
        <v>44740</v>
      </c>
      <c r="B29">
        <v>19</v>
      </c>
      <c r="C29">
        <f t="shared" si="4"/>
        <v>99</v>
      </c>
      <c r="D29">
        <f t="shared" si="5"/>
        <v>72</v>
      </c>
      <c r="E29">
        <f t="shared" si="6"/>
        <v>68</v>
      </c>
      <c r="F29" s="8">
        <f t="shared" si="0"/>
        <v>627.66</v>
      </c>
      <c r="G29" s="8">
        <f t="shared" si="1"/>
        <v>600.48</v>
      </c>
      <c r="H29" s="8">
        <f t="shared" si="2"/>
        <v>499.12</v>
      </c>
      <c r="I29">
        <f t="shared" si="3"/>
        <v>1727.2599999999998</v>
      </c>
      <c r="J29">
        <f t="shared" si="7"/>
        <v>57005.279999999992</v>
      </c>
    </row>
    <row r="30" spans="1:10" x14ac:dyDescent="0.25">
      <c r="A30" s="1">
        <v>44741</v>
      </c>
      <c r="B30">
        <v>24</v>
      </c>
      <c r="C30">
        <f t="shared" si="4"/>
        <v>120</v>
      </c>
      <c r="D30">
        <f t="shared" si="5"/>
        <v>90</v>
      </c>
      <c r="E30">
        <f t="shared" si="6"/>
        <v>80</v>
      </c>
      <c r="F30" s="8">
        <f t="shared" si="0"/>
        <v>760.8</v>
      </c>
      <c r="G30" s="8">
        <f t="shared" si="1"/>
        <v>750.6</v>
      </c>
      <c r="H30" s="8">
        <f t="shared" si="2"/>
        <v>587.20000000000005</v>
      </c>
      <c r="I30">
        <f t="shared" si="3"/>
        <v>2098.6000000000004</v>
      </c>
      <c r="J30">
        <f t="shared" si="7"/>
        <v>59103.87999999999</v>
      </c>
    </row>
    <row r="31" spans="1:10" x14ac:dyDescent="0.25">
      <c r="A31" s="1">
        <v>44742</v>
      </c>
      <c r="B31">
        <v>25</v>
      </c>
      <c r="C31">
        <f t="shared" si="4"/>
        <v>124</v>
      </c>
      <c r="D31">
        <f t="shared" si="5"/>
        <v>93</v>
      </c>
      <c r="E31">
        <f t="shared" si="6"/>
        <v>82</v>
      </c>
      <c r="F31" s="8">
        <f t="shared" si="0"/>
        <v>786.16</v>
      </c>
      <c r="G31" s="8">
        <f t="shared" si="1"/>
        <v>775.62</v>
      </c>
      <c r="H31" s="8">
        <f t="shared" si="2"/>
        <v>601.88</v>
      </c>
      <c r="I31">
        <f t="shared" si="3"/>
        <v>2163.66</v>
      </c>
      <c r="J31">
        <f t="shared" si="7"/>
        <v>61267.539999999994</v>
      </c>
    </row>
    <row r="32" spans="1:10" x14ac:dyDescent="0.25">
      <c r="A32" s="1">
        <v>44743</v>
      </c>
      <c r="B32">
        <v>27</v>
      </c>
      <c r="C32">
        <f t="shared" si="4"/>
        <v>132</v>
      </c>
      <c r="D32">
        <f t="shared" si="5"/>
        <v>100</v>
      </c>
      <c r="E32">
        <f t="shared" si="6"/>
        <v>87</v>
      </c>
      <c r="F32" s="8">
        <f t="shared" si="0"/>
        <v>836.88</v>
      </c>
      <c r="G32" s="8">
        <f t="shared" si="1"/>
        <v>834</v>
      </c>
      <c r="H32" s="8">
        <f t="shared" si="2"/>
        <v>638.58000000000004</v>
      </c>
      <c r="I32">
        <f t="shared" si="3"/>
        <v>2309.46</v>
      </c>
      <c r="J32">
        <f t="shared" si="7"/>
        <v>63576.999999999993</v>
      </c>
    </row>
    <row r="33" spans="1:10" x14ac:dyDescent="0.25">
      <c r="A33" s="1">
        <v>44744</v>
      </c>
      <c r="B33">
        <v>27</v>
      </c>
      <c r="C33">
        <f t="shared" si="4"/>
        <v>132</v>
      </c>
      <c r="D33">
        <f t="shared" si="5"/>
        <v>100</v>
      </c>
      <c r="E33">
        <f t="shared" si="6"/>
        <v>87</v>
      </c>
      <c r="F33" s="8">
        <f t="shared" si="0"/>
        <v>836.88</v>
      </c>
      <c r="G33" s="8">
        <f t="shared" si="1"/>
        <v>834</v>
      </c>
      <c r="H33" s="8">
        <f t="shared" si="2"/>
        <v>638.58000000000004</v>
      </c>
      <c r="I33">
        <f t="shared" si="3"/>
        <v>2309.46</v>
      </c>
      <c r="J33">
        <f t="shared" si="7"/>
        <v>65886.459999999992</v>
      </c>
    </row>
    <row r="34" spans="1:10" x14ac:dyDescent="0.25">
      <c r="A34" s="1">
        <v>44745</v>
      </c>
      <c r="B34">
        <v>21</v>
      </c>
      <c r="C34">
        <f t="shared" si="4"/>
        <v>107</v>
      </c>
      <c r="D34">
        <f t="shared" si="5"/>
        <v>79</v>
      </c>
      <c r="E34">
        <f t="shared" si="6"/>
        <v>72</v>
      </c>
      <c r="F34" s="8">
        <f t="shared" si="0"/>
        <v>678.38</v>
      </c>
      <c r="G34" s="8">
        <f t="shared" si="1"/>
        <v>658.86</v>
      </c>
      <c r="H34" s="8">
        <f t="shared" si="2"/>
        <v>528.48</v>
      </c>
      <c r="I34">
        <f t="shared" si="3"/>
        <v>1865.72</v>
      </c>
      <c r="J34">
        <f t="shared" si="7"/>
        <v>67752.179999999993</v>
      </c>
    </row>
    <row r="35" spans="1:10" x14ac:dyDescent="0.25">
      <c r="A35" s="1">
        <v>44746</v>
      </c>
      <c r="B35">
        <v>21</v>
      </c>
      <c r="C35">
        <f t="shared" si="4"/>
        <v>107</v>
      </c>
      <c r="D35">
        <f t="shared" si="5"/>
        <v>79</v>
      </c>
      <c r="E35">
        <f t="shared" si="6"/>
        <v>72</v>
      </c>
      <c r="F35" s="8">
        <f t="shared" si="0"/>
        <v>678.38</v>
      </c>
      <c r="G35" s="8">
        <f t="shared" si="1"/>
        <v>658.86</v>
      </c>
      <c r="H35" s="8">
        <f t="shared" si="2"/>
        <v>528.48</v>
      </c>
      <c r="I35">
        <f t="shared" si="3"/>
        <v>1865.72</v>
      </c>
      <c r="J35">
        <f t="shared" si="7"/>
        <v>69617.899999999994</v>
      </c>
    </row>
    <row r="36" spans="1:10" x14ac:dyDescent="0.25">
      <c r="A36" s="1">
        <v>44747</v>
      </c>
      <c r="B36">
        <v>25</v>
      </c>
      <c r="C36">
        <f t="shared" si="4"/>
        <v>124</v>
      </c>
      <c r="D36">
        <f t="shared" si="5"/>
        <v>93</v>
      </c>
      <c r="E36">
        <f t="shared" si="6"/>
        <v>82</v>
      </c>
      <c r="F36" s="8">
        <f t="shared" si="0"/>
        <v>786.16</v>
      </c>
      <c r="G36" s="8">
        <f t="shared" si="1"/>
        <v>775.62</v>
      </c>
      <c r="H36" s="8">
        <f t="shared" si="2"/>
        <v>601.88</v>
      </c>
      <c r="I36">
        <f t="shared" si="3"/>
        <v>2163.66</v>
      </c>
      <c r="J36">
        <f t="shared" si="7"/>
        <v>71781.56</v>
      </c>
    </row>
    <row r="37" spans="1:10" x14ac:dyDescent="0.25">
      <c r="A37" s="1">
        <v>44748</v>
      </c>
      <c r="B37">
        <v>19</v>
      </c>
      <c r="C37">
        <f t="shared" si="4"/>
        <v>99</v>
      </c>
      <c r="D37">
        <f t="shared" si="5"/>
        <v>72</v>
      </c>
      <c r="E37">
        <f t="shared" si="6"/>
        <v>68</v>
      </c>
      <c r="F37" s="8">
        <f t="shared" si="0"/>
        <v>627.66</v>
      </c>
      <c r="G37" s="8">
        <f t="shared" si="1"/>
        <v>600.48</v>
      </c>
      <c r="H37" s="8">
        <f t="shared" si="2"/>
        <v>499.12</v>
      </c>
      <c r="I37">
        <f t="shared" si="3"/>
        <v>1727.2599999999998</v>
      </c>
      <c r="J37">
        <f t="shared" si="7"/>
        <v>73508.819999999992</v>
      </c>
    </row>
    <row r="38" spans="1:10" x14ac:dyDescent="0.25">
      <c r="A38" s="1">
        <v>44749</v>
      </c>
      <c r="B38">
        <v>21</v>
      </c>
      <c r="C38">
        <f t="shared" si="4"/>
        <v>107</v>
      </c>
      <c r="D38">
        <f t="shared" si="5"/>
        <v>79</v>
      </c>
      <c r="E38">
        <f t="shared" si="6"/>
        <v>72</v>
      </c>
      <c r="F38" s="8">
        <f t="shared" si="0"/>
        <v>678.38</v>
      </c>
      <c r="G38" s="8">
        <f t="shared" si="1"/>
        <v>658.86</v>
      </c>
      <c r="H38" s="8">
        <f t="shared" si="2"/>
        <v>528.48</v>
      </c>
      <c r="I38">
        <f t="shared" si="3"/>
        <v>1865.72</v>
      </c>
      <c r="J38">
        <f t="shared" si="7"/>
        <v>75374.539999999994</v>
      </c>
    </row>
    <row r="39" spans="1:10" x14ac:dyDescent="0.25">
      <c r="A39" s="1">
        <v>44750</v>
      </c>
      <c r="B39">
        <v>24</v>
      </c>
      <c r="C39">
        <f t="shared" si="4"/>
        <v>120</v>
      </c>
      <c r="D39">
        <f t="shared" si="5"/>
        <v>90</v>
      </c>
      <c r="E39">
        <f t="shared" si="6"/>
        <v>80</v>
      </c>
      <c r="F39" s="8">
        <f t="shared" si="0"/>
        <v>760.8</v>
      </c>
      <c r="G39" s="8">
        <f t="shared" si="1"/>
        <v>750.6</v>
      </c>
      <c r="H39" s="8">
        <f t="shared" si="2"/>
        <v>587.20000000000005</v>
      </c>
      <c r="I39">
        <f t="shared" si="3"/>
        <v>2098.6000000000004</v>
      </c>
      <c r="J39">
        <f t="shared" si="7"/>
        <v>77473.14</v>
      </c>
    </row>
    <row r="40" spans="1:10" x14ac:dyDescent="0.25">
      <c r="A40" s="1">
        <v>44751</v>
      </c>
      <c r="B40">
        <v>19</v>
      </c>
      <c r="C40">
        <f t="shared" si="4"/>
        <v>99</v>
      </c>
      <c r="D40">
        <f t="shared" si="5"/>
        <v>72</v>
      </c>
      <c r="E40">
        <f t="shared" si="6"/>
        <v>68</v>
      </c>
      <c r="F40" s="8">
        <f t="shared" si="0"/>
        <v>627.66</v>
      </c>
      <c r="G40" s="8">
        <f t="shared" si="1"/>
        <v>600.48</v>
      </c>
      <c r="H40" s="8">
        <f t="shared" si="2"/>
        <v>499.12</v>
      </c>
      <c r="I40">
        <f t="shared" si="3"/>
        <v>1727.2599999999998</v>
      </c>
      <c r="J40">
        <f t="shared" si="7"/>
        <v>79200.399999999994</v>
      </c>
    </row>
    <row r="41" spans="1:10" x14ac:dyDescent="0.25">
      <c r="A41" s="1">
        <v>44752</v>
      </c>
      <c r="B41">
        <v>28</v>
      </c>
      <c r="C41">
        <f t="shared" si="4"/>
        <v>136</v>
      </c>
      <c r="D41">
        <f t="shared" si="5"/>
        <v>103</v>
      </c>
      <c r="E41">
        <f t="shared" si="6"/>
        <v>89</v>
      </c>
      <c r="F41" s="8">
        <f t="shared" si="0"/>
        <v>862.24</v>
      </c>
      <c r="G41" s="8">
        <f t="shared" si="1"/>
        <v>859.02</v>
      </c>
      <c r="H41" s="8">
        <f t="shared" si="2"/>
        <v>653.26</v>
      </c>
      <c r="I41">
        <f t="shared" si="3"/>
        <v>2374.52</v>
      </c>
      <c r="J41">
        <f t="shared" si="7"/>
        <v>81574.92</v>
      </c>
    </row>
    <row r="42" spans="1:10" x14ac:dyDescent="0.25">
      <c r="A42" s="1">
        <v>44753</v>
      </c>
      <c r="B42">
        <v>27</v>
      </c>
      <c r="C42">
        <f t="shared" si="4"/>
        <v>132</v>
      </c>
      <c r="D42">
        <f t="shared" si="5"/>
        <v>100</v>
      </c>
      <c r="E42">
        <f t="shared" si="6"/>
        <v>87</v>
      </c>
      <c r="F42" s="8">
        <f t="shared" si="0"/>
        <v>836.88</v>
      </c>
      <c r="G42" s="8">
        <f t="shared" si="1"/>
        <v>834</v>
      </c>
      <c r="H42" s="8">
        <f t="shared" si="2"/>
        <v>638.58000000000004</v>
      </c>
      <c r="I42">
        <f t="shared" si="3"/>
        <v>2309.46</v>
      </c>
      <c r="J42">
        <f t="shared" si="7"/>
        <v>83884.38</v>
      </c>
    </row>
    <row r="43" spans="1:10" x14ac:dyDescent="0.25">
      <c r="A43" s="1">
        <v>44754</v>
      </c>
      <c r="B43">
        <v>24</v>
      </c>
      <c r="C43">
        <f t="shared" si="4"/>
        <v>120</v>
      </c>
      <c r="D43">
        <f t="shared" si="5"/>
        <v>90</v>
      </c>
      <c r="E43">
        <f t="shared" si="6"/>
        <v>80</v>
      </c>
      <c r="F43" s="8">
        <f t="shared" si="0"/>
        <v>760.8</v>
      </c>
      <c r="G43" s="8">
        <f t="shared" si="1"/>
        <v>750.6</v>
      </c>
      <c r="H43" s="8">
        <f t="shared" si="2"/>
        <v>587.20000000000005</v>
      </c>
      <c r="I43">
        <f t="shared" si="3"/>
        <v>2098.6000000000004</v>
      </c>
      <c r="J43">
        <f t="shared" si="7"/>
        <v>85982.98000000001</v>
      </c>
    </row>
    <row r="44" spans="1:10" x14ac:dyDescent="0.25">
      <c r="A44" s="1">
        <v>44755</v>
      </c>
      <c r="B44">
        <v>22</v>
      </c>
      <c r="C44">
        <f t="shared" si="4"/>
        <v>111</v>
      </c>
      <c r="D44">
        <f t="shared" si="5"/>
        <v>83</v>
      </c>
      <c r="E44">
        <f t="shared" si="6"/>
        <v>75</v>
      </c>
      <c r="F44" s="8">
        <f t="shared" si="0"/>
        <v>703.74</v>
      </c>
      <c r="G44" s="8">
        <f t="shared" si="1"/>
        <v>692.22</v>
      </c>
      <c r="H44" s="8">
        <f t="shared" si="2"/>
        <v>550.5</v>
      </c>
      <c r="I44">
        <f t="shared" si="3"/>
        <v>1946.46</v>
      </c>
      <c r="J44">
        <f t="shared" si="7"/>
        <v>87929.440000000017</v>
      </c>
    </row>
    <row r="45" spans="1:10" x14ac:dyDescent="0.25">
      <c r="A45" s="1">
        <v>44756</v>
      </c>
      <c r="B45">
        <v>17</v>
      </c>
      <c r="C45">
        <f t="shared" si="4"/>
        <v>91</v>
      </c>
      <c r="D45">
        <f t="shared" si="5"/>
        <v>65</v>
      </c>
      <c r="E45">
        <f t="shared" si="6"/>
        <v>63</v>
      </c>
      <c r="F45" s="8">
        <f t="shared" si="0"/>
        <v>576.93999999999994</v>
      </c>
      <c r="G45" s="8">
        <f t="shared" si="1"/>
        <v>542.1</v>
      </c>
      <c r="H45" s="8">
        <f t="shared" si="2"/>
        <v>462.42</v>
      </c>
      <c r="I45">
        <f t="shared" si="3"/>
        <v>1581.46</v>
      </c>
      <c r="J45">
        <f t="shared" si="7"/>
        <v>89510.900000000023</v>
      </c>
    </row>
    <row r="46" spans="1:10" x14ac:dyDescent="0.25">
      <c r="A46" s="1">
        <v>44757</v>
      </c>
      <c r="B46">
        <v>18</v>
      </c>
      <c r="C46">
        <f t="shared" si="4"/>
        <v>95</v>
      </c>
      <c r="D46">
        <f t="shared" si="5"/>
        <v>69</v>
      </c>
      <c r="E46">
        <f t="shared" si="6"/>
        <v>65</v>
      </c>
      <c r="F46" s="8">
        <f t="shared" si="0"/>
        <v>602.29999999999995</v>
      </c>
      <c r="G46" s="8">
        <f t="shared" si="1"/>
        <v>575.46</v>
      </c>
      <c r="H46" s="8">
        <f t="shared" si="2"/>
        <v>477.09999999999997</v>
      </c>
      <c r="I46">
        <f t="shared" si="3"/>
        <v>1654.86</v>
      </c>
      <c r="J46">
        <f t="shared" si="7"/>
        <v>91165.760000000024</v>
      </c>
    </row>
    <row r="47" spans="1:10" x14ac:dyDescent="0.25">
      <c r="A47" s="1">
        <v>44758</v>
      </c>
      <c r="B47">
        <v>23</v>
      </c>
      <c r="C47">
        <f t="shared" si="4"/>
        <v>115</v>
      </c>
      <c r="D47">
        <f t="shared" si="5"/>
        <v>86</v>
      </c>
      <c r="E47">
        <f t="shared" si="6"/>
        <v>77</v>
      </c>
      <c r="F47" s="8">
        <f t="shared" si="0"/>
        <v>729.1</v>
      </c>
      <c r="G47" s="8">
        <f t="shared" si="1"/>
        <v>717.24</v>
      </c>
      <c r="H47" s="8">
        <f t="shared" si="2"/>
        <v>565.17999999999995</v>
      </c>
      <c r="I47">
        <f t="shared" si="3"/>
        <v>2011.52</v>
      </c>
      <c r="J47">
        <f t="shared" si="7"/>
        <v>93177.280000000028</v>
      </c>
    </row>
    <row r="48" spans="1:10" x14ac:dyDescent="0.25">
      <c r="A48" s="1">
        <v>44759</v>
      </c>
      <c r="B48">
        <v>23</v>
      </c>
      <c r="C48">
        <f t="shared" si="4"/>
        <v>115</v>
      </c>
      <c r="D48">
        <f t="shared" si="5"/>
        <v>86</v>
      </c>
      <c r="E48">
        <f t="shared" si="6"/>
        <v>77</v>
      </c>
      <c r="F48" s="8">
        <f t="shared" si="0"/>
        <v>729.1</v>
      </c>
      <c r="G48" s="8">
        <f t="shared" si="1"/>
        <v>717.24</v>
      </c>
      <c r="H48" s="8">
        <f t="shared" si="2"/>
        <v>565.17999999999995</v>
      </c>
      <c r="I48">
        <f t="shared" si="3"/>
        <v>2011.52</v>
      </c>
      <c r="J48">
        <f t="shared" si="7"/>
        <v>95188.800000000032</v>
      </c>
    </row>
    <row r="49" spans="1:10" x14ac:dyDescent="0.25">
      <c r="A49" s="1">
        <v>44760</v>
      </c>
      <c r="B49">
        <v>19</v>
      </c>
      <c r="C49">
        <f t="shared" si="4"/>
        <v>99</v>
      </c>
      <c r="D49">
        <f t="shared" si="5"/>
        <v>72</v>
      </c>
      <c r="E49">
        <f t="shared" si="6"/>
        <v>68</v>
      </c>
      <c r="F49" s="8">
        <f t="shared" si="0"/>
        <v>627.66</v>
      </c>
      <c r="G49" s="8">
        <f t="shared" si="1"/>
        <v>600.48</v>
      </c>
      <c r="H49" s="8">
        <f t="shared" si="2"/>
        <v>499.12</v>
      </c>
      <c r="I49">
        <f t="shared" si="3"/>
        <v>1727.2599999999998</v>
      </c>
      <c r="J49">
        <f t="shared" si="7"/>
        <v>96916.060000000027</v>
      </c>
    </row>
    <row r="50" spans="1:10" x14ac:dyDescent="0.25">
      <c r="A50" s="1">
        <v>44761</v>
      </c>
      <c r="B50">
        <v>21</v>
      </c>
      <c r="C50">
        <f t="shared" si="4"/>
        <v>107</v>
      </c>
      <c r="D50">
        <f t="shared" si="5"/>
        <v>79</v>
      </c>
      <c r="E50">
        <f t="shared" si="6"/>
        <v>72</v>
      </c>
      <c r="F50" s="8">
        <f t="shared" si="0"/>
        <v>678.38</v>
      </c>
      <c r="G50" s="8">
        <f t="shared" si="1"/>
        <v>658.86</v>
      </c>
      <c r="H50" s="8">
        <f t="shared" si="2"/>
        <v>528.48</v>
      </c>
      <c r="I50">
        <f t="shared" si="3"/>
        <v>1865.72</v>
      </c>
      <c r="J50">
        <f t="shared" si="7"/>
        <v>98781.780000000028</v>
      </c>
    </row>
    <row r="51" spans="1:10" x14ac:dyDescent="0.25">
      <c r="A51" s="1">
        <v>44762</v>
      </c>
      <c r="B51">
        <v>25</v>
      </c>
      <c r="C51">
        <f t="shared" si="4"/>
        <v>124</v>
      </c>
      <c r="D51">
        <f t="shared" si="5"/>
        <v>93</v>
      </c>
      <c r="E51">
        <f t="shared" si="6"/>
        <v>82</v>
      </c>
      <c r="F51" s="8">
        <f t="shared" si="0"/>
        <v>786.16</v>
      </c>
      <c r="G51" s="8">
        <f t="shared" si="1"/>
        <v>775.62</v>
      </c>
      <c r="H51" s="8">
        <f t="shared" si="2"/>
        <v>601.88</v>
      </c>
      <c r="I51">
        <f t="shared" si="3"/>
        <v>2163.66</v>
      </c>
      <c r="J51">
        <f t="shared" si="7"/>
        <v>100945.44000000003</v>
      </c>
    </row>
    <row r="52" spans="1:10" x14ac:dyDescent="0.25">
      <c r="A52" s="1">
        <v>44763</v>
      </c>
      <c r="B52">
        <v>28</v>
      </c>
      <c r="C52">
        <f t="shared" si="4"/>
        <v>136</v>
      </c>
      <c r="D52">
        <f t="shared" si="5"/>
        <v>103</v>
      </c>
      <c r="E52">
        <f t="shared" si="6"/>
        <v>89</v>
      </c>
      <c r="F52" s="8">
        <f t="shared" si="0"/>
        <v>862.24</v>
      </c>
      <c r="G52" s="8">
        <f t="shared" si="1"/>
        <v>859.02</v>
      </c>
      <c r="H52" s="8">
        <f t="shared" si="2"/>
        <v>653.26</v>
      </c>
      <c r="I52">
        <f t="shared" si="3"/>
        <v>2374.52</v>
      </c>
      <c r="J52">
        <f t="shared" si="7"/>
        <v>103319.96000000004</v>
      </c>
    </row>
    <row r="53" spans="1:10" x14ac:dyDescent="0.25">
      <c r="A53" s="1">
        <v>44764</v>
      </c>
      <c r="B53">
        <v>27</v>
      </c>
      <c r="C53">
        <f t="shared" si="4"/>
        <v>132</v>
      </c>
      <c r="D53">
        <f t="shared" si="5"/>
        <v>100</v>
      </c>
      <c r="E53">
        <f t="shared" si="6"/>
        <v>87</v>
      </c>
      <c r="F53" s="8">
        <f t="shared" si="0"/>
        <v>836.88</v>
      </c>
      <c r="G53" s="8">
        <f t="shared" si="1"/>
        <v>834</v>
      </c>
      <c r="H53" s="8">
        <f t="shared" si="2"/>
        <v>638.58000000000004</v>
      </c>
      <c r="I53">
        <f t="shared" si="3"/>
        <v>2309.46</v>
      </c>
      <c r="J53">
        <f t="shared" si="7"/>
        <v>105629.42000000004</v>
      </c>
    </row>
    <row r="54" spans="1:10" x14ac:dyDescent="0.25">
      <c r="A54" s="1">
        <v>44765</v>
      </c>
      <c r="B54">
        <v>23</v>
      </c>
      <c r="C54">
        <f t="shared" si="4"/>
        <v>115</v>
      </c>
      <c r="D54">
        <f t="shared" si="5"/>
        <v>86</v>
      </c>
      <c r="E54">
        <f t="shared" si="6"/>
        <v>77</v>
      </c>
      <c r="F54" s="8">
        <f t="shared" si="0"/>
        <v>729.1</v>
      </c>
      <c r="G54" s="8">
        <f t="shared" si="1"/>
        <v>717.24</v>
      </c>
      <c r="H54" s="8">
        <f t="shared" si="2"/>
        <v>565.17999999999995</v>
      </c>
      <c r="I54">
        <f t="shared" si="3"/>
        <v>2011.52</v>
      </c>
      <c r="J54">
        <f t="shared" si="7"/>
        <v>107640.94000000005</v>
      </c>
    </row>
    <row r="55" spans="1:10" x14ac:dyDescent="0.25">
      <c r="A55" s="1">
        <v>44766</v>
      </c>
      <c r="B55">
        <v>26</v>
      </c>
      <c r="C55">
        <f t="shared" si="4"/>
        <v>128</v>
      </c>
      <c r="D55">
        <f t="shared" si="5"/>
        <v>96</v>
      </c>
      <c r="E55">
        <f t="shared" si="6"/>
        <v>84</v>
      </c>
      <c r="F55" s="8">
        <f t="shared" si="0"/>
        <v>811.52</v>
      </c>
      <c r="G55" s="8">
        <f t="shared" si="1"/>
        <v>800.64</v>
      </c>
      <c r="H55" s="8">
        <f t="shared" si="2"/>
        <v>616.55999999999995</v>
      </c>
      <c r="I55">
        <f t="shared" si="3"/>
        <v>2228.7199999999998</v>
      </c>
      <c r="J55">
        <f t="shared" si="7"/>
        <v>109869.66000000005</v>
      </c>
    </row>
    <row r="56" spans="1:10" x14ac:dyDescent="0.25">
      <c r="A56" s="1">
        <v>44767</v>
      </c>
      <c r="B56">
        <v>29</v>
      </c>
      <c r="C56">
        <f t="shared" si="4"/>
        <v>140</v>
      </c>
      <c r="D56">
        <f t="shared" si="5"/>
        <v>107</v>
      </c>
      <c r="E56">
        <f t="shared" si="6"/>
        <v>91</v>
      </c>
      <c r="F56" s="8">
        <f t="shared" si="0"/>
        <v>887.6</v>
      </c>
      <c r="G56" s="8">
        <f t="shared" si="1"/>
        <v>892.38</v>
      </c>
      <c r="H56" s="8">
        <f t="shared" si="2"/>
        <v>667.93999999999994</v>
      </c>
      <c r="I56">
        <f t="shared" si="3"/>
        <v>2447.92</v>
      </c>
      <c r="J56">
        <f t="shared" si="7"/>
        <v>112317.58000000005</v>
      </c>
    </row>
    <row r="57" spans="1:10" x14ac:dyDescent="0.25">
      <c r="A57" s="1">
        <v>44768</v>
      </c>
      <c r="B57">
        <v>26</v>
      </c>
      <c r="C57">
        <f t="shared" si="4"/>
        <v>128</v>
      </c>
      <c r="D57">
        <f t="shared" si="5"/>
        <v>96</v>
      </c>
      <c r="E57">
        <f t="shared" si="6"/>
        <v>84</v>
      </c>
      <c r="F57" s="8">
        <f t="shared" si="0"/>
        <v>811.52</v>
      </c>
      <c r="G57" s="8">
        <f t="shared" si="1"/>
        <v>800.64</v>
      </c>
      <c r="H57" s="8">
        <f t="shared" si="2"/>
        <v>616.55999999999995</v>
      </c>
      <c r="I57">
        <f t="shared" si="3"/>
        <v>2228.7199999999998</v>
      </c>
      <c r="J57">
        <f t="shared" si="7"/>
        <v>114546.30000000005</v>
      </c>
    </row>
    <row r="58" spans="1:10" x14ac:dyDescent="0.25">
      <c r="A58" s="1">
        <v>44769</v>
      </c>
      <c r="B58">
        <v>27</v>
      </c>
      <c r="C58">
        <f t="shared" si="4"/>
        <v>132</v>
      </c>
      <c r="D58">
        <f t="shared" si="5"/>
        <v>100</v>
      </c>
      <c r="E58">
        <f t="shared" si="6"/>
        <v>87</v>
      </c>
      <c r="F58" s="8">
        <f t="shared" si="0"/>
        <v>836.88</v>
      </c>
      <c r="G58" s="8">
        <f t="shared" si="1"/>
        <v>834</v>
      </c>
      <c r="H58" s="8">
        <f t="shared" si="2"/>
        <v>638.58000000000004</v>
      </c>
      <c r="I58">
        <f t="shared" si="3"/>
        <v>2309.46</v>
      </c>
      <c r="J58">
        <f t="shared" si="7"/>
        <v>116855.76000000005</v>
      </c>
    </row>
    <row r="59" spans="1:10" x14ac:dyDescent="0.25">
      <c r="A59" s="1">
        <v>44770</v>
      </c>
      <c r="B59">
        <v>24</v>
      </c>
      <c r="C59">
        <f t="shared" si="4"/>
        <v>120</v>
      </c>
      <c r="D59">
        <f t="shared" si="5"/>
        <v>90</v>
      </c>
      <c r="E59">
        <f t="shared" si="6"/>
        <v>80</v>
      </c>
      <c r="F59" s="8">
        <f t="shared" si="0"/>
        <v>760.8</v>
      </c>
      <c r="G59" s="8">
        <f t="shared" si="1"/>
        <v>750.6</v>
      </c>
      <c r="H59" s="8">
        <f t="shared" si="2"/>
        <v>587.20000000000005</v>
      </c>
      <c r="I59">
        <f t="shared" si="3"/>
        <v>2098.6000000000004</v>
      </c>
      <c r="J59">
        <f t="shared" si="7"/>
        <v>118954.36000000006</v>
      </c>
    </row>
    <row r="60" spans="1:10" x14ac:dyDescent="0.25">
      <c r="A60" s="1">
        <v>44771</v>
      </c>
      <c r="B60">
        <v>26</v>
      </c>
      <c r="C60">
        <f t="shared" si="4"/>
        <v>128</v>
      </c>
      <c r="D60">
        <f t="shared" si="5"/>
        <v>96</v>
      </c>
      <c r="E60">
        <f t="shared" si="6"/>
        <v>84</v>
      </c>
      <c r="F60" s="8">
        <f t="shared" si="0"/>
        <v>811.52</v>
      </c>
      <c r="G60" s="8">
        <f t="shared" si="1"/>
        <v>800.64</v>
      </c>
      <c r="H60" s="8">
        <f t="shared" si="2"/>
        <v>616.55999999999995</v>
      </c>
      <c r="I60">
        <f t="shared" si="3"/>
        <v>2228.7199999999998</v>
      </c>
      <c r="J60">
        <f t="shared" si="7"/>
        <v>121183.08000000006</v>
      </c>
    </row>
    <row r="61" spans="1:10" x14ac:dyDescent="0.25">
      <c r="A61" s="1">
        <v>44772</v>
      </c>
      <c r="B61">
        <v>25</v>
      </c>
      <c r="C61">
        <f t="shared" si="4"/>
        <v>124</v>
      </c>
      <c r="D61">
        <f t="shared" si="5"/>
        <v>93</v>
      </c>
      <c r="E61">
        <f t="shared" si="6"/>
        <v>82</v>
      </c>
      <c r="F61" s="8">
        <f t="shared" si="0"/>
        <v>786.16</v>
      </c>
      <c r="G61" s="8">
        <f t="shared" si="1"/>
        <v>775.62</v>
      </c>
      <c r="H61" s="8">
        <f t="shared" si="2"/>
        <v>601.88</v>
      </c>
      <c r="I61">
        <f t="shared" si="3"/>
        <v>2163.66</v>
      </c>
      <c r="J61">
        <f t="shared" si="7"/>
        <v>123346.74000000006</v>
      </c>
    </row>
    <row r="62" spans="1:10" x14ac:dyDescent="0.25">
      <c r="A62" s="1">
        <v>44773</v>
      </c>
      <c r="B62">
        <v>24</v>
      </c>
      <c r="C62">
        <f t="shared" si="4"/>
        <v>120</v>
      </c>
      <c r="D62">
        <f t="shared" si="5"/>
        <v>90</v>
      </c>
      <c r="E62">
        <f t="shared" si="6"/>
        <v>80</v>
      </c>
      <c r="F62" s="8">
        <f t="shared" si="0"/>
        <v>760.8</v>
      </c>
      <c r="G62" s="8">
        <f t="shared" si="1"/>
        <v>750.6</v>
      </c>
      <c r="H62" s="8">
        <f t="shared" si="2"/>
        <v>587.20000000000005</v>
      </c>
      <c r="I62">
        <f t="shared" si="3"/>
        <v>2098.6000000000004</v>
      </c>
      <c r="J62">
        <f t="shared" si="7"/>
        <v>125445.34000000007</v>
      </c>
    </row>
    <row r="63" spans="1:10" x14ac:dyDescent="0.25">
      <c r="A63" s="1">
        <v>44774</v>
      </c>
      <c r="B63">
        <v>22</v>
      </c>
      <c r="C63">
        <f t="shared" si="4"/>
        <v>111</v>
      </c>
      <c r="D63">
        <f t="shared" si="5"/>
        <v>83</v>
      </c>
      <c r="E63">
        <f t="shared" si="6"/>
        <v>75</v>
      </c>
      <c r="F63" s="8">
        <f t="shared" si="0"/>
        <v>703.74</v>
      </c>
      <c r="G63" s="8">
        <f t="shared" si="1"/>
        <v>692.22</v>
      </c>
      <c r="H63" s="8">
        <f t="shared" si="2"/>
        <v>550.5</v>
      </c>
      <c r="I63">
        <f t="shared" si="3"/>
        <v>1946.46</v>
      </c>
      <c r="J63">
        <f t="shared" si="7"/>
        <v>127391.80000000008</v>
      </c>
    </row>
    <row r="64" spans="1:10" x14ac:dyDescent="0.25">
      <c r="A64" s="1">
        <v>44775</v>
      </c>
      <c r="B64">
        <v>19</v>
      </c>
      <c r="C64">
        <f t="shared" si="4"/>
        <v>99</v>
      </c>
      <c r="D64">
        <f t="shared" si="5"/>
        <v>72</v>
      </c>
      <c r="E64">
        <f t="shared" si="6"/>
        <v>68</v>
      </c>
      <c r="F64" s="8">
        <f t="shared" si="0"/>
        <v>627.66</v>
      </c>
      <c r="G64" s="8">
        <f t="shared" si="1"/>
        <v>600.48</v>
      </c>
      <c r="H64" s="8">
        <f t="shared" si="2"/>
        <v>499.12</v>
      </c>
      <c r="I64">
        <f t="shared" si="3"/>
        <v>1727.2599999999998</v>
      </c>
      <c r="J64">
        <f t="shared" si="7"/>
        <v>129119.06000000007</v>
      </c>
    </row>
    <row r="65" spans="1:10" x14ac:dyDescent="0.25">
      <c r="A65" s="1">
        <v>44776</v>
      </c>
      <c r="B65">
        <v>21</v>
      </c>
      <c r="C65">
        <f t="shared" si="4"/>
        <v>107</v>
      </c>
      <c r="D65">
        <f t="shared" si="5"/>
        <v>79</v>
      </c>
      <c r="E65">
        <f t="shared" si="6"/>
        <v>72</v>
      </c>
      <c r="F65" s="8">
        <f t="shared" si="0"/>
        <v>678.38</v>
      </c>
      <c r="G65" s="8">
        <f t="shared" si="1"/>
        <v>658.86</v>
      </c>
      <c r="H65" s="8">
        <f t="shared" si="2"/>
        <v>528.48</v>
      </c>
      <c r="I65">
        <f t="shared" si="3"/>
        <v>1865.72</v>
      </c>
      <c r="J65">
        <f t="shared" si="7"/>
        <v>130984.78000000007</v>
      </c>
    </row>
    <row r="66" spans="1:10" x14ac:dyDescent="0.25">
      <c r="A66" s="1">
        <v>44777</v>
      </c>
      <c r="B66">
        <v>26</v>
      </c>
      <c r="C66">
        <f t="shared" si="4"/>
        <v>128</v>
      </c>
      <c r="D66">
        <f t="shared" si="5"/>
        <v>96</v>
      </c>
      <c r="E66">
        <f t="shared" si="6"/>
        <v>84</v>
      </c>
      <c r="F66" s="8">
        <f t="shared" si="0"/>
        <v>811.52</v>
      </c>
      <c r="G66" s="8">
        <f t="shared" si="1"/>
        <v>800.64</v>
      </c>
      <c r="H66" s="8">
        <f t="shared" si="2"/>
        <v>616.55999999999995</v>
      </c>
      <c r="I66">
        <f t="shared" si="3"/>
        <v>2228.7199999999998</v>
      </c>
      <c r="J66">
        <f t="shared" si="7"/>
        <v>133213.50000000006</v>
      </c>
    </row>
    <row r="67" spans="1:10" x14ac:dyDescent="0.25">
      <c r="A67" s="1">
        <v>44778</v>
      </c>
      <c r="B67">
        <v>19</v>
      </c>
      <c r="C67">
        <f t="shared" si="4"/>
        <v>99</v>
      </c>
      <c r="D67">
        <f t="shared" si="5"/>
        <v>72</v>
      </c>
      <c r="E67">
        <f t="shared" si="6"/>
        <v>68</v>
      </c>
      <c r="F67" s="8">
        <f t="shared" ref="F67:F123" si="8">C67*(5+$K$119)</f>
        <v>627.66</v>
      </c>
      <c r="G67" s="8">
        <f t="shared" ref="G67:G123" si="9">D67*(7+$K$119)</f>
        <v>600.48</v>
      </c>
      <c r="H67" s="8">
        <f t="shared" ref="H67:H123" si="10">E67*(6+$K$119)</f>
        <v>499.12</v>
      </c>
      <c r="I67">
        <f t="shared" ref="I67:I123" si="11">F67+G67+H67</f>
        <v>1727.2599999999998</v>
      </c>
      <c r="J67">
        <f t="shared" si="7"/>
        <v>134940.76000000007</v>
      </c>
    </row>
    <row r="68" spans="1:10" x14ac:dyDescent="0.25">
      <c r="A68" s="1">
        <v>44779</v>
      </c>
      <c r="B68">
        <v>21</v>
      </c>
      <c r="C68">
        <f t="shared" ref="C68:C123" si="12">ROUNDDOWN(($C$2*(1 + ((2/29) * ((B68 - 24)/2)))),0)</f>
        <v>107</v>
      </c>
      <c r="D68">
        <f t="shared" ref="D68:D123" si="13">ROUNDDOWN(($D$2*(1 + ((1/13) * ((B68 - 24)/2)))),0)</f>
        <v>79</v>
      </c>
      <c r="E68">
        <f t="shared" ref="E68:E123" si="14">ROUNDDOWN(($E$2*(1 + ((1/17) * ((B68 - 24)/2)))),0)</f>
        <v>72</v>
      </c>
      <c r="F68" s="8">
        <f t="shared" si="8"/>
        <v>678.38</v>
      </c>
      <c r="G68" s="8">
        <f t="shared" si="9"/>
        <v>658.86</v>
      </c>
      <c r="H68" s="8">
        <f t="shared" si="10"/>
        <v>528.48</v>
      </c>
      <c r="I68">
        <f t="shared" si="11"/>
        <v>1865.72</v>
      </c>
      <c r="J68">
        <f t="shared" ref="J68:J93" si="15">J67+I68</f>
        <v>136806.48000000007</v>
      </c>
    </row>
    <row r="69" spans="1:10" x14ac:dyDescent="0.25">
      <c r="A69" s="1">
        <v>44780</v>
      </c>
      <c r="B69">
        <v>23</v>
      </c>
      <c r="C69">
        <f t="shared" si="12"/>
        <v>115</v>
      </c>
      <c r="D69">
        <f t="shared" si="13"/>
        <v>86</v>
      </c>
      <c r="E69">
        <f t="shared" si="14"/>
        <v>77</v>
      </c>
      <c r="F69" s="8">
        <f t="shared" si="8"/>
        <v>729.1</v>
      </c>
      <c r="G69" s="8">
        <f t="shared" si="9"/>
        <v>717.24</v>
      </c>
      <c r="H69" s="8">
        <f t="shared" si="10"/>
        <v>565.17999999999995</v>
      </c>
      <c r="I69">
        <f t="shared" si="11"/>
        <v>2011.52</v>
      </c>
      <c r="J69">
        <f t="shared" si="15"/>
        <v>138818.00000000006</v>
      </c>
    </row>
    <row r="70" spans="1:10" x14ac:dyDescent="0.25">
      <c r="A70" s="1">
        <v>44781</v>
      </c>
      <c r="B70">
        <v>27</v>
      </c>
      <c r="C70">
        <f t="shared" si="12"/>
        <v>132</v>
      </c>
      <c r="D70">
        <f t="shared" si="13"/>
        <v>100</v>
      </c>
      <c r="E70">
        <f t="shared" si="14"/>
        <v>87</v>
      </c>
      <c r="F70" s="8">
        <f t="shared" si="8"/>
        <v>836.88</v>
      </c>
      <c r="G70" s="8">
        <f t="shared" si="9"/>
        <v>834</v>
      </c>
      <c r="H70" s="8">
        <f t="shared" si="10"/>
        <v>638.58000000000004</v>
      </c>
      <c r="I70">
        <f t="shared" si="11"/>
        <v>2309.46</v>
      </c>
      <c r="J70">
        <f t="shared" si="15"/>
        <v>141127.46000000005</v>
      </c>
    </row>
    <row r="71" spans="1:10" x14ac:dyDescent="0.25">
      <c r="A71" s="1">
        <v>44782</v>
      </c>
      <c r="B71">
        <v>20</v>
      </c>
      <c r="C71">
        <f t="shared" si="12"/>
        <v>103</v>
      </c>
      <c r="D71">
        <f t="shared" si="13"/>
        <v>76</v>
      </c>
      <c r="E71">
        <f t="shared" si="14"/>
        <v>70</v>
      </c>
      <c r="F71" s="8">
        <f t="shared" si="8"/>
        <v>653.02</v>
      </c>
      <c r="G71" s="8">
        <f t="shared" si="9"/>
        <v>633.84</v>
      </c>
      <c r="H71" s="8">
        <f t="shared" si="10"/>
        <v>513.79999999999995</v>
      </c>
      <c r="I71">
        <f t="shared" si="11"/>
        <v>1800.66</v>
      </c>
      <c r="J71">
        <f t="shared" si="15"/>
        <v>142928.12000000005</v>
      </c>
    </row>
    <row r="72" spans="1:10" x14ac:dyDescent="0.25">
      <c r="A72" s="1">
        <v>44783</v>
      </c>
      <c r="B72">
        <v>18</v>
      </c>
      <c r="C72">
        <f t="shared" si="12"/>
        <v>95</v>
      </c>
      <c r="D72">
        <f t="shared" si="13"/>
        <v>69</v>
      </c>
      <c r="E72">
        <f t="shared" si="14"/>
        <v>65</v>
      </c>
      <c r="F72" s="8">
        <f t="shared" si="8"/>
        <v>602.29999999999995</v>
      </c>
      <c r="G72" s="8">
        <f t="shared" si="9"/>
        <v>575.46</v>
      </c>
      <c r="H72" s="8">
        <f t="shared" si="10"/>
        <v>477.09999999999997</v>
      </c>
      <c r="I72">
        <f t="shared" si="11"/>
        <v>1654.86</v>
      </c>
      <c r="J72">
        <f t="shared" si="15"/>
        <v>144582.98000000004</v>
      </c>
    </row>
    <row r="73" spans="1:10" x14ac:dyDescent="0.25">
      <c r="A73" s="1">
        <v>44784</v>
      </c>
      <c r="B73">
        <v>17</v>
      </c>
      <c r="C73">
        <f t="shared" si="12"/>
        <v>91</v>
      </c>
      <c r="D73">
        <f t="shared" si="13"/>
        <v>65</v>
      </c>
      <c r="E73">
        <f t="shared" si="14"/>
        <v>63</v>
      </c>
      <c r="F73" s="8">
        <f t="shared" si="8"/>
        <v>576.93999999999994</v>
      </c>
      <c r="G73" s="8">
        <f t="shared" si="9"/>
        <v>542.1</v>
      </c>
      <c r="H73" s="8">
        <f t="shared" si="10"/>
        <v>462.42</v>
      </c>
      <c r="I73">
        <f t="shared" si="11"/>
        <v>1581.46</v>
      </c>
      <c r="J73">
        <f t="shared" si="15"/>
        <v>146164.44000000003</v>
      </c>
    </row>
    <row r="74" spans="1:10" x14ac:dyDescent="0.25">
      <c r="A74" s="1">
        <v>44785</v>
      </c>
      <c r="B74">
        <v>19</v>
      </c>
      <c r="C74">
        <f t="shared" si="12"/>
        <v>99</v>
      </c>
      <c r="D74">
        <f t="shared" si="13"/>
        <v>72</v>
      </c>
      <c r="E74">
        <f t="shared" si="14"/>
        <v>68</v>
      </c>
      <c r="F74" s="8">
        <f t="shared" si="8"/>
        <v>627.66</v>
      </c>
      <c r="G74" s="8">
        <f t="shared" si="9"/>
        <v>600.48</v>
      </c>
      <c r="H74" s="8">
        <f t="shared" si="10"/>
        <v>499.12</v>
      </c>
      <c r="I74">
        <f t="shared" si="11"/>
        <v>1727.2599999999998</v>
      </c>
      <c r="J74">
        <f t="shared" si="15"/>
        <v>147891.70000000004</v>
      </c>
    </row>
    <row r="75" spans="1:10" x14ac:dyDescent="0.25">
      <c r="A75" s="1">
        <v>44786</v>
      </c>
      <c r="B75">
        <v>26</v>
      </c>
      <c r="C75">
        <f t="shared" si="12"/>
        <v>128</v>
      </c>
      <c r="D75">
        <f t="shared" si="13"/>
        <v>96</v>
      </c>
      <c r="E75">
        <f t="shared" si="14"/>
        <v>84</v>
      </c>
      <c r="F75" s="8">
        <f t="shared" si="8"/>
        <v>811.52</v>
      </c>
      <c r="G75" s="8">
        <f t="shared" si="9"/>
        <v>800.64</v>
      </c>
      <c r="H75" s="8">
        <f t="shared" si="10"/>
        <v>616.55999999999995</v>
      </c>
      <c r="I75">
        <f t="shared" si="11"/>
        <v>2228.7199999999998</v>
      </c>
      <c r="J75">
        <f t="shared" si="15"/>
        <v>150120.42000000004</v>
      </c>
    </row>
    <row r="76" spans="1:10" x14ac:dyDescent="0.25">
      <c r="A76" s="1">
        <v>44787</v>
      </c>
      <c r="B76">
        <v>21</v>
      </c>
      <c r="C76">
        <f t="shared" si="12"/>
        <v>107</v>
      </c>
      <c r="D76">
        <f t="shared" si="13"/>
        <v>79</v>
      </c>
      <c r="E76">
        <f t="shared" si="14"/>
        <v>72</v>
      </c>
      <c r="F76" s="8">
        <f t="shared" si="8"/>
        <v>678.38</v>
      </c>
      <c r="G76" s="8">
        <f t="shared" si="9"/>
        <v>658.86</v>
      </c>
      <c r="H76" s="8">
        <f t="shared" si="10"/>
        <v>528.48</v>
      </c>
      <c r="I76">
        <f t="shared" si="11"/>
        <v>1865.72</v>
      </c>
      <c r="J76">
        <f t="shared" si="15"/>
        <v>151986.14000000004</v>
      </c>
    </row>
    <row r="77" spans="1:10" x14ac:dyDescent="0.25">
      <c r="A77" s="1">
        <v>44788</v>
      </c>
      <c r="B77">
        <v>19</v>
      </c>
      <c r="C77">
        <f t="shared" si="12"/>
        <v>99</v>
      </c>
      <c r="D77">
        <f t="shared" si="13"/>
        <v>72</v>
      </c>
      <c r="E77">
        <f t="shared" si="14"/>
        <v>68</v>
      </c>
      <c r="F77" s="8">
        <f t="shared" si="8"/>
        <v>627.66</v>
      </c>
      <c r="G77" s="8">
        <f t="shared" si="9"/>
        <v>600.48</v>
      </c>
      <c r="H77" s="8">
        <f t="shared" si="10"/>
        <v>499.12</v>
      </c>
      <c r="I77">
        <f t="shared" si="11"/>
        <v>1727.2599999999998</v>
      </c>
      <c r="J77">
        <f t="shared" si="15"/>
        <v>153713.40000000005</v>
      </c>
    </row>
    <row r="78" spans="1:10" x14ac:dyDescent="0.25">
      <c r="A78" s="1">
        <v>44789</v>
      </c>
      <c r="B78">
        <v>19</v>
      </c>
      <c r="C78">
        <f t="shared" si="12"/>
        <v>99</v>
      </c>
      <c r="D78">
        <f t="shared" si="13"/>
        <v>72</v>
      </c>
      <c r="E78">
        <f t="shared" si="14"/>
        <v>68</v>
      </c>
      <c r="F78" s="8">
        <f t="shared" si="8"/>
        <v>627.66</v>
      </c>
      <c r="G78" s="8">
        <f t="shared" si="9"/>
        <v>600.48</v>
      </c>
      <c r="H78" s="8">
        <f t="shared" si="10"/>
        <v>499.12</v>
      </c>
      <c r="I78">
        <f t="shared" si="11"/>
        <v>1727.2599999999998</v>
      </c>
      <c r="J78">
        <f t="shared" si="15"/>
        <v>155440.66000000006</v>
      </c>
    </row>
    <row r="79" spans="1:10" x14ac:dyDescent="0.25">
      <c r="A79" s="1">
        <v>44790</v>
      </c>
      <c r="B79">
        <v>21</v>
      </c>
      <c r="C79">
        <f t="shared" si="12"/>
        <v>107</v>
      </c>
      <c r="D79">
        <f t="shared" si="13"/>
        <v>79</v>
      </c>
      <c r="E79">
        <f t="shared" si="14"/>
        <v>72</v>
      </c>
      <c r="F79" s="8">
        <f t="shared" si="8"/>
        <v>678.38</v>
      </c>
      <c r="G79" s="8">
        <f t="shared" si="9"/>
        <v>658.86</v>
      </c>
      <c r="H79" s="8">
        <f t="shared" si="10"/>
        <v>528.48</v>
      </c>
      <c r="I79">
        <f t="shared" si="11"/>
        <v>1865.72</v>
      </c>
      <c r="J79">
        <f t="shared" si="15"/>
        <v>157306.38000000006</v>
      </c>
    </row>
    <row r="80" spans="1:10" x14ac:dyDescent="0.25">
      <c r="A80" s="1">
        <v>44791</v>
      </c>
      <c r="B80">
        <v>21</v>
      </c>
      <c r="C80">
        <f t="shared" si="12"/>
        <v>107</v>
      </c>
      <c r="D80">
        <f t="shared" si="13"/>
        <v>79</v>
      </c>
      <c r="E80">
        <f t="shared" si="14"/>
        <v>72</v>
      </c>
      <c r="F80" s="8">
        <f t="shared" si="8"/>
        <v>678.38</v>
      </c>
      <c r="G80" s="8">
        <f t="shared" si="9"/>
        <v>658.86</v>
      </c>
      <c r="H80" s="8">
        <f t="shared" si="10"/>
        <v>528.48</v>
      </c>
      <c r="I80">
        <f t="shared" si="11"/>
        <v>1865.72</v>
      </c>
      <c r="J80">
        <f t="shared" si="15"/>
        <v>159172.10000000006</v>
      </c>
    </row>
    <row r="81" spans="1:10" x14ac:dyDescent="0.25">
      <c r="A81" s="1">
        <v>44792</v>
      </c>
      <c r="B81">
        <v>24</v>
      </c>
      <c r="C81">
        <f t="shared" si="12"/>
        <v>120</v>
      </c>
      <c r="D81">
        <f t="shared" si="13"/>
        <v>90</v>
      </c>
      <c r="E81">
        <f t="shared" si="14"/>
        <v>80</v>
      </c>
      <c r="F81" s="8">
        <f t="shared" si="8"/>
        <v>760.8</v>
      </c>
      <c r="G81" s="8">
        <f t="shared" si="9"/>
        <v>750.6</v>
      </c>
      <c r="H81" s="8">
        <f t="shared" si="10"/>
        <v>587.20000000000005</v>
      </c>
      <c r="I81">
        <f t="shared" si="11"/>
        <v>2098.6000000000004</v>
      </c>
      <c r="J81">
        <f t="shared" si="15"/>
        <v>161270.70000000007</v>
      </c>
    </row>
    <row r="82" spans="1:10" x14ac:dyDescent="0.25">
      <c r="A82" s="1">
        <v>44793</v>
      </c>
      <c r="B82">
        <v>26</v>
      </c>
      <c r="C82">
        <f t="shared" si="12"/>
        <v>128</v>
      </c>
      <c r="D82">
        <f t="shared" si="13"/>
        <v>96</v>
      </c>
      <c r="E82">
        <f t="shared" si="14"/>
        <v>84</v>
      </c>
      <c r="F82" s="8">
        <f t="shared" si="8"/>
        <v>811.52</v>
      </c>
      <c r="G82" s="8">
        <f t="shared" si="9"/>
        <v>800.64</v>
      </c>
      <c r="H82" s="8">
        <f t="shared" si="10"/>
        <v>616.55999999999995</v>
      </c>
      <c r="I82">
        <f t="shared" si="11"/>
        <v>2228.7199999999998</v>
      </c>
      <c r="J82">
        <f t="shared" si="15"/>
        <v>163499.42000000007</v>
      </c>
    </row>
    <row r="83" spans="1:10" x14ac:dyDescent="0.25">
      <c r="A83" s="1">
        <v>44794</v>
      </c>
      <c r="B83">
        <v>23</v>
      </c>
      <c r="C83">
        <f t="shared" si="12"/>
        <v>115</v>
      </c>
      <c r="D83">
        <f t="shared" si="13"/>
        <v>86</v>
      </c>
      <c r="E83">
        <f t="shared" si="14"/>
        <v>77</v>
      </c>
      <c r="F83" s="8">
        <f t="shared" si="8"/>
        <v>729.1</v>
      </c>
      <c r="G83" s="8">
        <f t="shared" si="9"/>
        <v>717.24</v>
      </c>
      <c r="H83" s="8">
        <f t="shared" si="10"/>
        <v>565.17999999999995</v>
      </c>
      <c r="I83">
        <f t="shared" si="11"/>
        <v>2011.52</v>
      </c>
      <c r="J83">
        <f t="shared" si="15"/>
        <v>165510.94000000006</v>
      </c>
    </row>
    <row r="84" spans="1:10" x14ac:dyDescent="0.25">
      <c r="A84" s="1">
        <v>44795</v>
      </c>
      <c r="B84">
        <v>23</v>
      </c>
      <c r="C84">
        <f t="shared" si="12"/>
        <v>115</v>
      </c>
      <c r="D84">
        <f t="shared" si="13"/>
        <v>86</v>
      </c>
      <c r="E84">
        <f t="shared" si="14"/>
        <v>77</v>
      </c>
      <c r="F84" s="8">
        <f t="shared" si="8"/>
        <v>729.1</v>
      </c>
      <c r="G84" s="8">
        <f t="shared" si="9"/>
        <v>717.24</v>
      </c>
      <c r="H84" s="8">
        <f t="shared" si="10"/>
        <v>565.17999999999995</v>
      </c>
      <c r="I84">
        <f t="shared" si="11"/>
        <v>2011.52</v>
      </c>
      <c r="J84">
        <f t="shared" si="15"/>
        <v>167522.46000000005</v>
      </c>
    </row>
    <row r="85" spans="1:10" x14ac:dyDescent="0.25">
      <c r="A85" s="1">
        <v>44796</v>
      </c>
      <c r="B85">
        <v>24</v>
      </c>
      <c r="C85">
        <f t="shared" si="12"/>
        <v>120</v>
      </c>
      <c r="D85">
        <f t="shared" si="13"/>
        <v>90</v>
      </c>
      <c r="E85">
        <f t="shared" si="14"/>
        <v>80</v>
      </c>
      <c r="F85" s="8">
        <f t="shared" si="8"/>
        <v>760.8</v>
      </c>
      <c r="G85" s="8">
        <f t="shared" si="9"/>
        <v>750.6</v>
      </c>
      <c r="H85" s="8">
        <f t="shared" si="10"/>
        <v>587.20000000000005</v>
      </c>
      <c r="I85">
        <f t="shared" si="11"/>
        <v>2098.6000000000004</v>
      </c>
      <c r="J85">
        <f t="shared" si="15"/>
        <v>169621.06000000006</v>
      </c>
    </row>
    <row r="86" spans="1:10" x14ac:dyDescent="0.25">
      <c r="A86" s="1">
        <v>44797</v>
      </c>
      <c r="B86">
        <v>26</v>
      </c>
      <c r="C86">
        <f t="shared" si="12"/>
        <v>128</v>
      </c>
      <c r="D86">
        <f t="shared" si="13"/>
        <v>96</v>
      </c>
      <c r="E86">
        <f t="shared" si="14"/>
        <v>84</v>
      </c>
      <c r="F86" s="8">
        <f t="shared" si="8"/>
        <v>811.52</v>
      </c>
      <c r="G86" s="8">
        <f t="shared" si="9"/>
        <v>800.64</v>
      </c>
      <c r="H86" s="8">
        <f t="shared" si="10"/>
        <v>616.55999999999995</v>
      </c>
      <c r="I86">
        <f t="shared" si="11"/>
        <v>2228.7199999999998</v>
      </c>
      <c r="J86">
        <f t="shared" si="15"/>
        <v>171849.78000000006</v>
      </c>
    </row>
    <row r="87" spans="1:10" x14ac:dyDescent="0.25">
      <c r="A87" s="1">
        <v>44798</v>
      </c>
      <c r="B87">
        <v>28</v>
      </c>
      <c r="C87">
        <f t="shared" si="12"/>
        <v>136</v>
      </c>
      <c r="D87">
        <f t="shared" si="13"/>
        <v>103</v>
      </c>
      <c r="E87">
        <f t="shared" si="14"/>
        <v>89</v>
      </c>
      <c r="F87" s="8">
        <f t="shared" si="8"/>
        <v>862.24</v>
      </c>
      <c r="G87" s="8">
        <f t="shared" si="9"/>
        <v>859.02</v>
      </c>
      <c r="H87" s="8">
        <f t="shared" si="10"/>
        <v>653.26</v>
      </c>
      <c r="I87">
        <f t="shared" si="11"/>
        <v>2374.52</v>
      </c>
      <c r="J87">
        <f t="shared" si="15"/>
        <v>174224.30000000005</v>
      </c>
    </row>
    <row r="88" spans="1:10" x14ac:dyDescent="0.25">
      <c r="A88" s="1">
        <v>44799</v>
      </c>
      <c r="B88">
        <v>32</v>
      </c>
      <c r="C88">
        <f t="shared" si="12"/>
        <v>153</v>
      </c>
      <c r="D88">
        <f t="shared" si="13"/>
        <v>117</v>
      </c>
      <c r="E88">
        <f t="shared" si="14"/>
        <v>98</v>
      </c>
      <c r="F88" s="8">
        <f t="shared" si="8"/>
        <v>970.02</v>
      </c>
      <c r="G88" s="8">
        <f t="shared" si="9"/>
        <v>975.78</v>
      </c>
      <c r="H88" s="8">
        <f t="shared" si="10"/>
        <v>719.31999999999994</v>
      </c>
      <c r="I88">
        <f t="shared" si="11"/>
        <v>2665.12</v>
      </c>
      <c r="J88">
        <f t="shared" si="15"/>
        <v>176889.42000000004</v>
      </c>
    </row>
    <row r="89" spans="1:10" x14ac:dyDescent="0.25">
      <c r="A89" s="1">
        <v>44800</v>
      </c>
      <c r="B89">
        <v>26</v>
      </c>
      <c r="C89">
        <f t="shared" si="12"/>
        <v>128</v>
      </c>
      <c r="D89">
        <f t="shared" si="13"/>
        <v>96</v>
      </c>
      <c r="E89">
        <f t="shared" si="14"/>
        <v>84</v>
      </c>
      <c r="F89" s="8">
        <f t="shared" si="8"/>
        <v>811.52</v>
      </c>
      <c r="G89" s="8">
        <f t="shared" si="9"/>
        <v>800.64</v>
      </c>
      <c r="H89" s="8">
        <f t="shared" si="10"/>
        <v>616.55999999999995</v>
      </c>
      <c r="I89">
        <f t="shared" si="11"/>
        <v>2228.7199999999998</v>
      </c>
      <c r="J89">
        <f t="shared" si="15"/>
        <v>179118.14000000004</v>
      </c>
    </row>
    <row r="90" spans="1:10" x14ac:dyDescent="0.25">
      <c r="A90" s="1">
        <v>44801</v>
      </c>
      <c r="B90">
        <v>32</v>
      </c>
      <c r="C90">
        <f t="shared" si="12"/>
        <v>153</v>
      </c>
      <c r="D90">
        <f t="shared" si="13"/>
        <v>117</v>
      </c>
      <c r="E90">
        <f t="shared" si="14"/>
        <v>98</v>
      </c>
      <c r="F90" s="8">
        <f t="shared" si="8"/>
        <v>970.02</v>
      </c>
      <c r="G90" s="8">
        <f t="shared" si="9"/>
        <v>975.78</v>
      </c>
      <c r="H90" s="8">
        <f t="shared" si="10"/>
        <v>719.31999999999994</v>
      </c>
      <c r="I90">
        <f t="shared" si="11"/>
        <v>2665.12</v>
      </c>
      <c r="J90">
        <f t="shared" si="15"/>
        <v>181783.26000000004</v>
      </c>
    </row>
    <row r="91" spans="1:10" x14ac:dyDescent="0.25">
      <c r="A91" s="1">
        <v>44802</v>
      </c>
      <c r="B91">
        <v>23</v>
      </c>
      <c r="C91">
        <f t="shared" si="12"/>
        <v>115</v>
      </c>
      <c r="D91">
        <f t="shared" si="13"/>
        <v>86</v>
      </c>
      <c r="E91">
        <f t="shared" si="14"/>
        <v>77</v>
      </c>
      <c r="F91" s="8">
        <f t="shared" si="8"/>
        <v>729.1</v>
      </c>
      <c r="G91" s="8">
        <f t="shared" si="9"/>
        <v>717.24</v>
      </c>
      <c r="H91" s="8">
        <f t="shared" si="10"/>
        <v>565.17999999999995</v>
      </c>
      <c r="I91">
        <f t="shared" si="11"/>
        <v>2011.52</v>
      </c>
      <c r="J91">
        <f t="shared" si="15"/>
        <v>183794.78000000003</v>
      </c>
    </row>
    <row r="92" spans="1:10" x14ac:dyDescent="0.25">
      <c r="A92" s="1">
        <v>44803</v>
      </c>
      <c r="B92">
        <v>22</v>
      </c>
      <c r="C92">
        <f t="shared" si="12"/>
        <v>111</v>
      </c>
      <c r="D92">
        <f t="shared" si="13"/>
        <v>83</v>
      </c>
      <c r="E92">
        <f t="shared" si="14"/>
        <v>75</v>
      </c>
      <c r="F92" s="8">
        <f t="shared" si="8"/>
        <v>703.74</v>
      </c>
      <c r="G92" s="8">
        <f t="shared" si="9"/>
        <v>692.22</v>
      </c>
      <c r="H92" s="8">
        <f t="shared" si="10"/>
        <v>550.5</v>
      </c>
      <c r="I92">
        <f t="shared" si="11"/>
        <v>1946.46</v>
      </c>
      <c r="J92">
        <f t="shared" si="15"/>
        <v>185741.24000000002</v>
      </c>
    </row>
    <row r="93" spans="1:10" x14ac:dyDescent="0.25">
      <c r="A93" s="1">
        <v>44804</v>
      </c>
      <c r="B93">
        <v>25</v>
      </c>
      <c r="C93">
        <f t="shared" si="12"/>
        <v>124</v>
      </c>
      <c r="D93">
        <f t="shared" si="13"/>
        <v>93</v>
      </c>
      <c r="E93">
        <f t="shared" si="14"/>
        <v>82</v>
      </c>
      <c r="F93" s="8">
        <f t="shared" si="8"/>
        <v>786.16</v>
      </c>
      <c r="G93" s="8">
        <f t="shared" si="9"/>
        <v>775.62</v>
      </c>
      <c r="H93" s="8">
        <f t="shared" si="10"/>
        <v>601.88</v>
      </c>
      <c r="I93">
        <f t="shared" si="11"/>
        <v>2163.66</v>
      </c>
      <c r="J93">
        <f t="shared" si="15"/>
        <v>187904.90000000002</v>
      </c>
    </row>
    <row r="94" spans="1:10" x14ac:dyDescent="0.25">
      <c r="A94" s="1">
        <v>44805</v>
      </c>
      <c r="B94">
        <v>23</v>
      </c>
      <c r="C94">
        <f t="shared" si="12"/>
        <v>115</v>
      </c>
      <c r="D94">
        <f t="shared" si="13"/>
        <v>86</v>
      </c>
      <c r="E94">
        <f t="shared" si="14"/>
        <v>77</v>
      </c>
      <c r="F94" s="8">
        <f t="shared" si="8"/>
        <v>729.1</v>
      </c>
      <c r="G94" s="8">
        <f t="shared" si="9"/>
        <v>717.24</v>
      </c>
      <c r="H94" s="8">
        <f t="shared" si="10"/>
        <v>565.17999999999995</v>
      </c>
      <c r="I94">
        <f t="shared" si="11"/>
        <v>2011.52</v>
      </c>
    </row>
    <row r="95" spans="1:10" x14ac:dyDescent="0.25">
      <c r="A95" s="1">
        <v>44806</v>
      </c>
      <c r="B95">
        <v>23</v>
      </c>
      <c r="C95">
        <f t="shared" si="12"/>
        <v>115</v>
      </c>
      <c r="D95">
        <f t="shared" si="13"/>
        <v>86</v>
      </c>
      <c r="E95">
        <f t="shared" si="14"/>
        <v>77</v>
      </c>
      <c r="F95" s="8">
        <f t="shared" si="8"/>
        <v>729.1</v>
      </c>
      <c r="G95" s="8">
        <f t="shared" si="9"/>
        <v>717.24</v>
      </c>
      <c r="H95" s="8">
        <f t="shared" si="10"/>
        <v>565.17999999999995</v>
      </c>
      <c r="I95">
        <f t="shared" si="11"/>
        <v>2011.52</v>
      </c>
    </row>
    <row r="96" spans="1:10" x14ac:dyDescent="0.25">
      <c r="A96" s="1">
        <v>44807</v>
      </c>
      <c r="B96">
        <v>22</v>
      </c>
      <c r="C96">
        <f t="shared" si="12"/>
        <v>111</v>
      </c>
      <c r="D96">
        <f t="shared" si="13"/>
        <v>83</v>
      </c>
      <c r="E96">
        <f t="shared" si="14"/>
        <v>75</v>
      </c>
      <c r="F96" s="8">
        <f t="shared" si="8"/>
        <v>703.74</v>
      </c>
      <c r="G96" s="8">
        <f t="shared" si="9"/>
        <v>692.22</v>
      </c>
      <c r="H96" s="8">
        <f t="shared" si="10"/>
        <v>550.5</v>
      </c>
      <c r="I96">
        <f t="shared" si="11"/>
        <v>1946.46</v>
      </c>
    </row>
    <row r="97" spans="1:9" x14ac:dyDescent="0.25">
      <c r="A97" s="1">
        <v>44808</v>
      </c>
      <c r="B97">
        <v>22</v>
      </c>
      <c r="C97">
        <f t="shared" si="12"/>
        <v>111</v>
      </c>
      <c r="D97">
        <f t="shared" si="13"/>
        <v>83</v>
      </c>
      <c r="E97">
        <f t="shared" si="14"/>
        <v>75</v>
      </c>
      <c r="F97" s="8">
        <f t="shared" si="8"/>
        <v>703.74</v>
      </c>
      <c r="G97" s="8">
        <f t="shared" si="9"/>
        <v>692.22</v>
      </c>
      <c r="H97" s="8">
        <f t="shared" si="10"/>
        <v>550.5</v>
      </c>
      <c r="I97">
        <f t="shared" si="11"/>
        <v>1946.46</v>
      </c>
    </row>
    <row r="98" spans="1:9" x14ac:dyDescent="0.25">
      <c r="A98" s="1">
        <v>44809</v>
      </c>
      <c r="B98">
        <v>21</v>
      </c>
      <c r="C98">
        <f t="shared" si="12"/>
        <v>107</v>
      </c>
      <c r="D98">
        <f t="shared" si="13"/>
        <v>79</v>
      </c>
      <c r="E98">
        <f t="shared" si="14"/>
        <v>72</v>
      </c>
      <c r="F98" s="8">
        <f t="shared" si="8"/>
        <v>678.38</v>
      </c>
      <c r="G98" s="8">
        <f t="shared" si="9"/>
        <v>658.86</v>
      </c>
      <c r="H98" s="8">
        <f t="shared" si="10"/>
        <v>528.48</v>
      </c>
      <c r="I98">
        <f t="shared" si="11"/>
        <v>1865.72</v>
      </c>
    </row>
    <row r="99" spans="1:9" x14ac:dyDescent="0.25">
      <c r="A99" s="1">
        <v>44810</v>
      </c>
      <c r="B99">
        <v>21</v>
      </c>
      <c r="C99">
        <f t="shared" si="12"/>
        <v>107</v>
      </c>
      <c r="D99">
        <f t="shared" si="13"/>
        <v>79</v>
      </c>
      <c r="E99">
        <f t="shared" si="14"/>
        <v>72</v>
      </c>
      <c r="F99" s="8">
        <f t="shared" si="8"/>
        <v>678.38</v>
      </c>
      <c r="G99" s="8">
        <f t="shared" si="9"/>
        <v>658.86</v>
      </c>
      <c r="H99" s="8">
        <f t="shared" si="10"/>
        <v>528.48</v>
      </c>
      <c r="I99">
        <f t="shared" si="11"/>
        <v>1865.72</v>
      </c>
    </row>
    <row r="100" spans="1:9" x14ac:dyDescent="0.25">
      <c r="A100" s="1">
        <v>44811</v>
      </c>
      <c r="B100">
        <f>IF(MOD(DAY(A100),2) = 0,B99,B99-1)</f>
        <v>20</v>
      </c>
      <c r="C100">
        <f t="shared" si="12"/>
        <v>103</v>
      </c>
      <c r="D100">
        <f t="shared" si="13"/>
        <v>76</v>
      </c>
      <c r="E100">
        <f t="shared" si="14"/>
        <v>70</v>
      </c>
      <c r="F100" s="8">
        <f t="shared" si="8"/>
        <v>653.02</v>
      </c>
      <c r="G100" s="8">
        <f t="shared" si="9"/>
        <v>633.84</v>
      </c>
      <c r="H100" s="8">
        <f t="shared" si="10"/>
        <v>513.79999999999995</v>
      </c>
      <c r="I100">
        <f t="shared" si="11"/>
        <v>1800.66</v>
      </c>
    </row>
    <row r="101" spans="1:9" x14ac:dyDescent="0.25">
      <c r="A101" s="1">
        <v>44812</v>
      </c>
      <c r="B101">
        <f t="shared" ref="B101:B123" si="16">IF(MOD(DAY(A101),2) = 0,B100,B100-1)</f>
        <v>20</v>
      </c>
      <c r="C101">
        <f t="shared" si="12"/>
        <v>103</v>
      </c>
      <c r="D101">
        <f t="shared" si="13"/>
        <v>76</v>
      </c>
      <c r="E101">
        <f t="shared" si="14"/>
        <v>70</v>
      </c>
      <c r="F101" s="8">
        <f t="shared" si="8"/>
        <v>653.02</v>
      </c>
      <c r="G101" s="8">
        <f t="shared" si="9"/>
        <v>633.84</v>
      </c>
      <c r="H101" s="8">
        <f t="shared" si="10"/>
        <v>513.79999999999995</v>
      </c>
      <c r="I101">
        <f t="shared" si="11"/>
        <v>1800.66</v>
      </c>
    </row>
    <row r="102" spans="1:9" x14ac:dyDescent="0.25">
      <c r="A102" s="1">
        <v>44813</v>
      </c>
      <c r="B102">
        <f t="shared" si="16"/>
        <v>19</v>
      </c>
      <c r="C102">
        <f t="shared" si="12"/>
        <v>99</v>
      </c>
      <c r="D102">
        <f t="shared" si="13"/>
        <v>72</v>
      </c>
      <c r="E102">
        <f t="shared" si="14"/>
        <v>68</v>
      </c>
      <c r="F102" s="8">
        <f t="shared" si="8"/>
        <v>627.66</v>
      </c>
      <c r="G102" s="8">
        <f t="shared" si="9"/>
        <v>600.48</v>
      </c>
      <c r="H102" s="8">
        <f t="shared" si="10"/>
        <v>499.12</v>
      </c>
      <c r="I102">
        <f t="shared" si="11"/>
        <v>1727.2599999999998</v>
      </c>
    </row>
    <row r="103" spans="1:9" x14ac:dyDescent="0.25">
      <c r="A103" s="1">
        <v>44814</v>
      </c>
      <c r="B103">
        <f t="shared" si="16"/>
        <v>19</v>
      </c>
      <c r="C103">
        <f t="shared" si="12"/>
        <v>99</v>
      </c>
      <c r="D103">
        <f t="shared" si="13"/>
        <v>72</v>
      </c>
      <c r="E103">
        <f t="shared" si="14"/>
        <v>68</v>
      </c>
      <c r="F103" s="8">
        <f t="shared" si="8"/>
        <v>627.66</v>
      </c>
      <c r="G103" s="8">
        <f t="shared" si="9"/>
        <v>600.48</v>
      </c>
      <c r="H103" s="8">
        <f t="shared" si="10"/>
        <v>499.12</v>
      </c>
      <c r="I103">
        <f t="shared" si="11"/>
        <v>1727.2599999999998</v>
      </c>
    </row>
    <row r="104" spans="1:9" x14ac:dyDescent="0.25">
      <c r="A104" s="1">
        <v>44815</v>
      </c>
      <c r="B104">
        <f t="shared" si="16"/>
        <v>18</v>
      </c>
      <c r="C104">
        <f t="shared" si="12"/>
        <v>95</v>
      </c>
      <c r="D104">
        <f t="shared" si="13"/>
        <v>69</v>
      </c>
      <c r="E104">
        <f t="shared" si="14"/>
        <v>65</v>
      </c>
      <c r="F104" s="8">
        <f t="shared" si="8"/>
        <v>602.29999999999995</v>
      </c>
      <c r="G104" s="8">
        <f t="shared" si="9"/>
        <v>575.46</v>
      </c>
      <c r="H104" s="8">
        <f t="shared" si="10"/>
        <v>477.09999999999997</v>
      </c>
      <c r="I104">
        <f t="shared" si="11"/>
        <v>1654.86</v>
      </c>
    </row>
    <row r="105" spans="1:9" x14ac:dyDescent="0.25">
      <c r="A105" s="1">
        <v>44816</v>
      </c>
      <c r="B105">
        <f t="shared" si="16"/>
        <v>18</v>
      </c>
      <c r="C105">
        <f t="shared" si="12"/>
        <v>95</v>
      </c>
      <c r="D105">
        <f t="shared" si="13"/>
        <v>69</v>
      </c>
      <c r="E105">
        <f t="shared" si="14"/>
        <v>65</v>
      </c>
      <c r="F105" s="8">
        <f t="shared" si="8"/>
        <v>602.29999999999995</v>
      </c>
      <c r="G105" s="8">
        <f t="shared" si="9"/>
        <v>575.46</v>
      </c>
      <c r="H105" s="8">
        <f t="shared" si="10"/>
        <v>477.09999999999997</v>
      </c>
      <c r="I105">
        <f t="shared" si="11"/>
        <v>1654.86</v>
      </c>
    </row>
    <row r="106" spans="1:9" x14ac:dyDescent="0.25">
      <c r="A106" s="1">
        <v>44817</v>
      </c>
      <c r="B106">
        <f t="shared" si="16"/>
        <v>17</v>
      </c>
      <c r="C106">
        <f t="shared" si="12"/>
        <v>91</v>
      </c>
      <c r="D106">
        <f t="shared" si="13"/>
        <v>65</v>
      </c>
      <c r="E106">
        <f t="shared" si="14"/>
        <v>63</v>
      </c>
      <c r="F106" s="8">
        <f t="shared" si="8"/>
        <v>576.93999999999994</v>
      </c>
      <c r="G106" s="8">
        <f t="shared" si="9"/>
        <v>542.1</v>
      </c>
      <c r="H106" s="8">
        <f t="shared" si="10"/>
        <v>462.42</v>
      </c>
      <c r="I106">
        <f t="shared" si="11"/>
        <v>1581.46</v>
      </c>
    </row>
    <row r="107" spans="1:9" x14ac:dyDescent="0.25">
      <c r="A107" s="1">
        <v>44818</v>
      </c>
      <c r="B107">
        <f t="shared" si="16"/>
        <v>17</v>
      </c>
      <c r="C107">
        <f t="shared" si="12"/>
        <v>91</v>
      </c>
      <c r="D107">
        <f t="shared" si="13"/>
        <v>65</v>
      </c>
      <c r="E107">
        <f t="shared" si="14"/>
        <v>63</v>
      </c>
      <c r="F107" s="8">
        <f t="shared" si="8"/>
        <v>576.93999999999994</v>
      </c>
      <c r="G107" s="8">
        <f t="shared" si="9"/>
        <v>542.1</v>
      </c>
      <c r="H107" s="8">
        <f t="shared" si="10"/>
        <v>462.42</v>
      </c>
      <c r="I107">
        <f t="shared" si="11"/>
        <v>1581.46</v>
      </c>
    </row>
    <row r="108" spans="1:9" x14ac:dyDescent="0.25">
      <c r="A108" s="1">
        <v>44819</v>
      </c>
      <c r="B108">
        <f t="shared" si="16"/>
        <v>16</v>
      </c>
      <c r="C108">
        <f t="shared" si="12"/>
        <v>86</v>
      </c>
      <c r="D108">
        <f t="shared" si="13"/>
        <v>62</v>
      </c>
      <c r="E108">
        <f t="shared" si="14"/>
        <v>61</v>
      </c>
      <c r="F108" s="8">
        <f t="shared" si="8"/>
        <v>545.24</v>
      </c>
      <c r="G108" s="8">
        <f t="shared" si="9"/>
        <v>517.08000000000004</v>
      </c>
      <c r="H108" s="8">
        <f t="shared" si="10"/>
        <v>447.74</v>
      </c>
      <c r="I108">
        <f t="shared" si="11"/>
        <v>1510.0600000000002</v>
      </c>
    </row>
    <row r="109" spans="1:9" x14ac:dyDescent="0.25">
      <c r="A109" s="1">
        <v>44820</v>
      </c>
      <c r="B109">
        <f t="shared" si="16"/>
        <v>16</v>
      </c>
      <c r="C109">
        <f t="shared" si="12"/>
        <v>86</v>
      </c>
      <c r="D109">
        <f t="shared" si="13"/>
        <v>62</v>
      </c>
      <c r="E109">
        <f t="shared" si="14"/>
        <v>61</v>
      </c>
      <c r="F109" s="8">
        <f t="shared" si="8"/>
        <v>545.24</v>
      </c>
      <c r="G109" s="8">
        <f t="shared" si="9"/>
        <v>517.08000000000004</v>
      </c>
      <c r="H109" s="8">
        <f t="shared" si="10"/>
        <v>447.74</v>
      </c>
      <c r="I109">
        <f t="shared" si="11"/>
        <v>1510.0600000000002</v>
      </c>
    </row>
    <row r="110" spans="1:9" x14ac:dyDescent="0.25">
      <c r="A110" s="1">
        <v>44821</v>
      </c>
      <c r="B110">
        <f t="shared" si="16"/>
        <v>15</v>
      </c>
      <c r="C110">
        <f t="shared" si="12"/>
        <v>82</v>
      </c>
      <c r="D110">
        <f t="shared" si="13"/>
        <v>58</v>
      </c>
      <c r="E110">
        <f t="shared" si="14"/>
        <v>58</v>
      </c>
      <c r="F110" s="8">
        <f t="shared" si="8"/>
        <v>519.88</v>
      </c>
      <c r="G110" s="8">
        <f t="shared" si="9"/>
        <v>483.71999999999997</v>
      </c>
      <c r="H110" s="8">
        <f t="shared" si="10"/>
        <v>425.71999999999997</v>
      </c>
      <c r="I110">
        <f t="shared" si="11"/>
        <v>1429.32</v>
      </c>
    </row>
    <row r="111" spans="1:9" x14ac:dyDescent="0.25">
      <c r="A111" s="1">
        <v>44822</v>
      </c>
      <c r="B111">
        <f t="shared" si="16"/>
        <v>15</v>
      </c>
      <c r="C111">
        <f t="shared" si="12"/>
        <v>82</v>
      </c>
      <c r="D111">
        <f t="shared" si="13"/>
        <v>58</v>
      </c>
      <c r="E111">
        <f t="shared" si="14"/>
        <v>58</v>
      </c>
      <c r="F111" s="8">
        <f t="shared" si="8"/>
        <v>519.88</v>
      </c>
      <c r="G111" s="8">
        <f t="shared" si="9"/>
        <v>483.71999999999997</v>
      </c>
      <c r="H111" s="8">
        <f t="shared" si="10"/>
        <v>425.71999999999997</v>
      </c>
      <c r="I111">
        <f t="shared" si="11"/>
        <v>1429.32</v>
      </c>
    </row>
    <row r="112" spans="1:9" x14ac:dyDescent="0.25">
      <c r="A112" s="1">
        <v>44823</v>
      </c>
      <c r="B112">
        <f t="shared" si="16"/>
        <v>14</v>
      </c>
      <c r="C112">
        <f t="shared" si="12"/>
        <v>78</v>
      </c>
      <c r="D112">
        <f t="shared" si="13"/>
        <v>55</v>
      </c>
      <c r="E112">
        <f t="shared" si="14"/>
        <v>56</v>
      </c>
      <c r="F112" s="8">
        <f t="shared" si="8"/>
        <v>494.52</v>
      </c>
      <c r="G112" s="8">
        <f t="shared" si="9"/>
        <v>458.7</v>
      </c>
      <c r="H112" s="8">
        <f t="shared" si="10"/>
        <v>411.03999999999996</v>
      </c>
      <c r="I112">
        <f t="shared" si="11"/>
        <v>1364.26</v>
      </c>
    </row>
    <row r="113" spans="1:11" x14ac:dyDescent="0.25">
      <c r="A113" s="1">
        <v>44824</v>
      </c>
      <c r="B113">
        <f t="shared" si="16"/>
        <v>14</v>
      </c>
      <c r="C113">
        <f t="shared" si="12"/>
        <v>78</v>
      </c>
      <c r="D113">
        <f t="shared" si="13"/>
        <v>55</v>
      </c>
      <c r="E113">
        <f t="shared" si="14"/>
        <v>56</v>
      </c>
      <c r="F113" s="8">
        <f t="shared" si="8"/>
        <v>494.52</v>
      </c>
      <c r="G113" s="8">
        <f t="shared" si="9"/>
        <v>458.7</v>
      </c>
      <c r="H113" s="8">
        <f t="shared" si="10"/>
        <v>411.03999999999996</v>
      </c>
      <c r="I113">
        <f t="shared" si="11"/>
        <v>1364.26</v>
      </c>
    </row>
    <row r="114" spans="1:11" x14ac:dyDescent="0.25">
      <c r="A114" s="1">
        <v>44825</v>
      </c>
      <c r="B114">
        <f t="shared" si="16"/>
        <v>13</v>
      </c>
      <c r="C114">
        <f t="shared" si="12"/>
        <v>74</v>
      </c>
      <c r="D114">
        <f t="shared" si="13"/>
        <v>51</v>
      </c>
      <c r="E114">
        <f t="shared" si="14"/>
        <v>54</v>
      </c>
      <c r="F114" s="8">
        <f t="shared" si="8"/>
        <v>469.15999999999997</v>
      </c>
      <c r="G114" s="8">
        <f t="shared" si="9"/>
        <v>425.34</v>
      </c>
      <c r="H114" s="8">
        <f t="shared" si="10"/>
        <v>396.36</v>
      </c>
      <c r="I114">
        <f t="shared" si="11"/>
        <v>1290.8600000000001</v>
      </c>
    </row>
    <row r="115" spans="1:11" x14ac:dyDescent="0.25">
      <c r="A115" s="1">
        <v>44826</v>
      </c>
      <c r="B115">
        <f t="shared" si="16"/>
        <v>13</v>
      </c>
      <c r="C115">
        <f t="shared" si="12"/>
        <v>74</v>
      </c>
      <c r="D115">
        <f t="shared" si="13"/>
        <v>51</v>
      </c>
      <c r="E115">
        <f t="shared" si="14"/>
        <v>54</v>
      </c>
      <c r="F115" s="8">
        <f t="shared" si="8"/>
        <v>469.15999999999997</v>
      </c>
      <c r="G115" s="8">
        <f t="shared" si="9"/>
        <v>425.34</v>
      </c>
      <c r="H115" s="8">
        <f t="shared" si="10"/>
        <v>396.36</v>
      </c>
      <c r="I115">
        <f t="shared" si="11"/>
        <v>1290.8600000000001</v>
      </c>
    </row>
    <row r="116" spans="1:11" x14ac:dyDescent="0.25">
      <c r="A116" s="10">
        <v>44827</v>
      </c>
      <c r="B116" s="11">
        <f t="shared" si="16"/>
        <v>12</v>
      </c>
      <c r="C116" s="11">
        <f t="shared" si="12"/>
        <v>70</v>
      </c>
      <c r="D116" s="11">
        <f t="shared" si="13"/>
        <v>48</v>
      </c>
      <c r="E116" s="11">
        <f t="shared" si="14"/>
        <v>51</v>
      </c>
      <c r="F116" s="12">
        <f t="shared" si="8"/>
        <v>443.8</v>
      </c>
      <c r="G116" s="12">
        <f t="shared" si="9"/>
        <v>400.32</v>
      </c>
      <c r="H116" s="12">
        <f t="shared" si="10"/>
        <v>374.34</v>
      </c>
      <c r="I116" s="11">
        <f t="shared" si="11"/>
        <v>1218.46</v>
      </c>
    </row>
    <row r="117" spans="1:11" x14ac:dyDescent="0.25">
      <c r="A117" s="1">
        <v>44828</v>
      </c>
      <c r="B117">
        <f t="shared" si="16"/>
        <v>12</v>
      </c>
      <c r="C117">
        <f t="shared" si="12"/>
        <v>70</v>
      </c>
      <c r="D117">
        <f t="shared" si="13"/>
        <v>48</v>
      </c>
      <c r="E117">
        <f t="shared" si="14"/>
        <v>51</v>
      </c>
      <c r="F117" s="8">
        <f t="shared" si="8"/>
        <v>443.8</v>
      </c>
      <c r="G117" s="8">
        <f t="shared" si="9"/>
        <v>400.32</v>
      </c>
      <c r="H117" s="8">
        <f t="shared" si="10"/>
        <v>374.34</v>
      </c>
      <c r="I117">
        <f t="shared" si="11"/>
        <v>1218.46</v>
      </c>
    </row>
    <row r="118" spans="1:11" x14ac:dyDescent="0.25">
      <c r="A118" s="1">
        <v>44829</v>
      </c>
      <c r="B118">
        <f t="shared" si="16"/>
        <v>11</v>
      </c>
      <c r="C118">
        <f t="shared" si="12"/>
        <v>66</v>
      </c>
      <c r="D118">
        <f t="shared" si="13"/>
        <v>45</v>
      </c>
      <c r="E118">
        <f t="shared" si="14"/>
        <v>49</v>
      </c>
      <c r="F118" s="8">
        <f t="shared" si="8"/>
        <v>418.44</v>
      </c>
      <c r="G118" s="8">
        <f t="shared" si="9"/>
        <v>375.3</v>
      </c>
      <c r="H118" s="8">
        <f t="shared" si="10"/>
        <v>359.65999999999997</v>
      </c>
      <c r="I118">
        <f t="shared" si="11"/>
        <v>1153.4000000000001</v>
      </c>
      <c r="K118" s="3" t="s">
        <v>18</v>
      </c>
    </row>
    <row r="119" spans="1:11" x14ac:dyDescent="0.25">
      <c r="A119" s="1">
        <v>44830</v>
      </c>
      <c r="B119">
        <f t="shared" si="16"/>
        <v>11</v>
      </c>
      <c r="C119">
        <f t="shared" si="12"/>
        <v>66</v>
      </c>
      <c r="D119">
        <f t="shared" si="13"/>
        <v>45</v>
      </c>
      <c r="E119">
        <f t="shared" si="14"/>
        <v>49</v>
      </c>
      <c r="F119" s="8">
        <f t="shared" si="8"/>
        <v>418.44</v>
      </c>
      <c r="G119" s="8">
        <f t="shared" si="9"/>
        <v>375.3</v>
      </c>
      <c r="H119" s="8">
        <f t="shared" si="10"/>
        <v>359.65999999999997</v>
      </c>
      <c r="I119">
        <f t="shared" si="11"/>
        <v>1153.4000000000001</v>
      </c>
      <c r="K119" s="9">
        <v>1.34</v>
      </c>
    </row>
    <row r="120" spans="1:11" x14ac:dyDescent="0.25">
      <c r="A120" s="1">
        <v>44831</v>
      </c>
      <c r="B120">
        <f t="shared" si="16"/>
        <v>10</v>
      </c>
      <c r="C120">
        <f t="shared" si="12"/>
        <v>62</v>
      </c>
      <c r="D120">
        <f t="shared" si="13"/>
        <v>41</v>
      </c>
      <c r="E120">
        <f t="shared" si="14"/>
        <v>47</v>
      </c>
      <c r="F120" s="8">
        <f t="shared" si="8"/>
        <v>393.08</v>
      </c>
      <c r="G120" s="8">
        <f t="shared" si="9"/>
        <v>341.94</v>
      </c>
      <c r="H120" s="8">
        <f t="shared" si="10"/>
        <v>344.98</v>
      </c>
      <c r="I120">
        <f t="shared" si="11"/>
        <v>1080</v>
      </c>
      <c r="K120" s="7"/>
    </row>
    <row r="121" spans="1:11" x14ac:dyDescent="0.25">
      <c r="A121" s="1">
        <v>44832</v>
      </c>
      <c r="B121">
        <f t="shared" si="16"/>
        <v>10</v>
      </c>
      <c r="C121">
        <f t="shared" si="12"/>
        <v>62</v>
      </c>
      <c r="D121">
        <f t="shared" si="13"/>
        <v>41</v>
      </c>
      <c r="E121">
        <f t="shared" si="14"/>
        <v>47</v>
      </c>
      <c r="F121" s="8">
        <f t="shared" si="8"/>
        <v>393.08</v>
      </c>
      <c r="G121" s="8">
        <f t="shared" si="9"/>
        <v>341.94</v>
      </c>
      <c r="H121" s="8">
        <f t="shared" si="10"/>
        <v>344.98</v>
      </c>
      <c r="I121">
        <f t="shared" si="11"/>
        <v>1080</v>
      </c>
    </row>
    <row r="122" spans="1:11" x14ac:dyDescent="0.25">
      <c r="A122" s="1">
        <v>44833</v>
      </c>
      <c r="B122">
        <f t="shared" si="16"/>
        <v>9</v>
      </c>
      <c r="C122">
        <f t="shared" si="12"/>
        <v>57</v>
      </c>
      <c r="D122">
        <f t="shared" si="13"/>
        <v>38</v>
      </c>
      <c r="E122">
        <f t="shared" si="14"/>
        <v>44</v>
      </c>
      <c r="F122" s="8">
        <f t="shared" si="8"/>
        <v>361.38</v>
      </c>
      <c r="G122" s="8">
        <f t="shared" si="9"/>
        <v>316.92</v>
      </c>
      <c r="H122" s="8">
        <f t="shared" si="10"/>
        <v>322.95999999999998</v>
      </c>
      <c r="I122">
        <f t="shared" si="11"/>
        <v>1001.26</v>
      </c>
    </row>
    <row r="123" spans="1:11" x14ac:dyDescent="0.25">
      <c r="A123" s="1">
        <v>44834</v>
      </c>
      <c r="B123">
        <f t="shared" si="16"/>
        <v>9</v>
      </c>
      <c r="C123">
        <f t="shared" si="12"/>
        <v>57</v>
      </c>
      <c r="D123">
        <f t="shared" si="13"/>
        <v>38</v>
      </c>
      <c r="E123">
        <f t="shared" si="14"/>
        <v>44</v>
      </c>
      <c r="F123" s="8">
        <f t="shared" si="8"/>
        <v>361.38</v>
      </c>
      <c r="G123" s="8">
        <f t="shared" si="9"/>
        <v>316.92</v>
      </c>
      <c r="H123" s="8">
        <f t="shared" si="10"/>
        <v>322.95999999999998</v>
      </c>
      <c r="I123">
        <f t="shared" si="11"/>
        <v>1001.26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C633F-67A1-41AE-971C-AF7CF852C62B}">
  <dimension ref="A3:D7"/>
  <sheetViews>
    <sheetView workbookViewId="0">
      <selection activeCell="P35" sqref="P35"/>
    </sheetView>
  </sheetViews>
  <sheetFormatPr defaultRowHeight="15" x14ac:dyDescent="0.25"/>
  <cols>
    <col min="1" max="1" width="17.7109375" bestFit="1" customWidth="1"/>
    <col min="2" max="2" width="32.85546875" bestFit="1" customWidth="1"/>
    <col min="3" max="3" width="35" bestFit="1" customWidth="1"/>
    <col min="4" max="4" width="30.7109375" bestFit="1" customWidth="1"/>
  </cols>
  <sheetData>
    <row r="3" spans="1:4" x14ac:dyDescent="0.25">
      <c r="A3" s="4" t="s">
        <v>10</v>
      </c>
      <c r="B3" t="s">
        <v>15</v>
      </c>
      <c r="C3" t="s">
        <v>16</v>
      </c>
      <c r="D3" t="s">
        <v>17</v>
      </c>
    </row>
    <row r="4" spans="1:4" x14ac:dyDescent="0.25">
      <c r="A4" s="5" t="s">
        <v>12</v>
      </c>
      <c r="B4" s="6">
        <v>2355</v>
      </c>
      <c r="C4" s="6">
        <v>2639</v>
      </c>
      <c r="D4" s="6">
        <v>3527</v>
      </c>
    </row>
    <row r="5" spans="1:4" x14ac:dyDescent="0.25">
      <c r="A5" s="5" t="s">
        <v>13</v>
      </c>
      <c r="B5" s="6">
        <v>2448</v>
      </c>
      <c r="C5" s="6">
        <v>2747</v>
      </c>
      <c r="D5" s="6">
        <v>3675</v>
      </c>
    </row>
    <row r="6" spans="1:4" x14ac:dyDescent="0.25">
      <c r="A6" s="5" t="s">
        <v>14</v>
      </c>
      <c r="B6" s="6">
        <v>2390</v>
      </c>
      <c r="C6" s="6">
        <v>2665</v>
      </c>
      <c r="D6" s="6">
        <v>3579</v>
      </c>
    </row>
    <row r="7" spans="1:4" x14ac:dyDescent="0.25">
      <c r="A7" s="5" t="s">
        <v>11</v>
      </c>
      <c r="B7" s="6">
        <v>7193</v>
      </c>
      <c r="C7" s="6">
        <v>8051</v>
      </c>
      <c r="D7" s="6">
        <v>10781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201E7-C666-48B9-B397-F0471F792BC4}">
  <dimension ref="A1:M123"/>
  <sheetViews>
    <sheetView tabSelected="1" topLeftCell="A68" workbookViewId="0">
      <selection activeCell="A79" sqref="A79:A93"/>
    </sheetView>
  </sheetViews>
  <sheetFormatPr defaultRowHeight="15" x14ac:dyDescent="0.25"/>
  <cols>
    <col min="1" max="1" width="13" customWidth="1"/>
    <col min="2" max="2" width="26.140625" bestFit="1" customWidth="1"/>
    <col min="3" max="3" width="23.85546875" bestFit="1" customWidth="1"/>
    <col min="4" max="4" width="28.140625" bestFit="1" customWidth="1"/>
    <col min="5" max="5" width="26.140625" bestFit="1" customWidth="1"/>
    <col min="6" max="6" width="27.42578125" bestFit="1" customWidth="1"/>
    <col min="7" max="7" width="31.7109375" bestFit="1" customWidth="1"/>
    <col min="8" max="8" width="31" bestFit="1" customWidth="1"/>
    <col min="9" max="9" width="24.28515625" bestFit="1" customWidth="1"/>
    <col min="10" max="10" width="34" bestFit="1" customWidth="1"/>
    <col min="11" max="11" width="17" customWidth="1"/>
    <col min="12" max="12" width="12.28515625" customWidth="1"/>
    <col min="13" max="13" width="17.855468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19</v>
      </c>
      <c r="L1" t="s">
        <v>20</v>
      </c>
      <c r="M1" t="s">
        <v>21</v>
      </c>
    </row>
    <row r="2" spans="1:13" x14ac:dyDescent="0.25">
      <c r="A2" s="1">
        <v>44713</v>
      </c>
      <c r="B2">
        <v>24</v>
      </c>
      <c r="C2">
        <v>120</v>
      </c>
      <c r="D2">
        <v>90</v>
      </c>
      <c r="E2">
        <v>80</v>
      </c>
      <c r="F2">
        <f>C2*5</f>
        <v>600</v>
      </c>
      <c r="G2">
        <f>D2*7</f>
        <v>630</v>
      </c>
      <c r="H2">
        <f>E2*6</f>
        <v>480</v>
      </c>
      <c r="I2">
        <f>F2+G2+H2</f>
        <v>1710</v>
      </c>
      <c r="J2">
        <v>1710</v>
      </c>
      <c r="K2">
        <f>IF(B2&gt;20,1,0)</f>
        <v>1</v>
      </c>
      <c r="L2">
        <v>1</v>
      </c>
      <c r="M2">
        <f>MAX(L:L)</f>
        <v>15</v>
      </c>
    </row>
    <row r="3" spans="1:13" x14ac:dyDescent="0.25">
      <c r="A3" s="1">
        <v>44714</v>
      </c>
      <c r="B3">
        <v>25</v>
      </c>
      <c r="C3">
        <f>ROUNDDOWN(($C$2*(1 + ((2/29) * ((B3 - 24)/2)))),0)</f>
        <v>124</v>
      </c>
      <c r="D3">
        <f>ROUNDDOWN(($D$2*(1 + ((1/13) * ((B3 - 24)/2)))),0)</f>
        <v>93</v>
      </c>
      <c r="E3">
        <f>ROUNDDOWN(($E$2*(1 + ((1/17) * ((B3 - 24)/2)))),0)</f>
        <v>82</v>
      </c>
      <c r="F3">
        <f t="shared" ref="F3:F66" si="0">C3*5</f>
        <v>620</v>
      </c>
      <c r="G3">
        <f t="shared" ref="G3:G66" si="1">D3*7</f>
        <v>651</v>
      </c>
      <c r="H3">
        <f t="shared" ref="H3:H66" si="2">E3*6</f>
        <v>492</v>
      </c>
      <c r="I3">
        <f t="shared" ref="I3:I66" si="3">F3+G3+H3</f>
        <v>1763</v>
      </c>
      <c r="J3">
        <f>J2+I3</f>
        <v>3473</v>
      </c>
      <c r="K3">
        <f t="shared" ref="K3:K66" si="4">IF(B3&gt;20,1,0)</f>
        <v>1</v>
      </c>
      <c r="L3">
        <f>IF(K3=0,0,L2+1)</f>
        <v>2</v>
      </c>
    </row>
    <row r="4" spans="1:13" x14ac:dyDescent="0.25">
      <c r="A4" s="1">
        <v>44715</v>
      </c>
      <c r="B4">
        <v>27</v>
      </c>
      <c r="C4">
        <f t="shared" ref="C4:C67" si="5">ROUNDDOWN(($C$2*(1 + ((2/29) * ((B4 - 24)/2)))),0)</f>
        <v>132</v>
      </c>
      <c r="D4">
        <f t="shared" ref="D4:D67" si="6">ROUNDDOWN(($D$2*(1 + ((1/13) * ((B4 - 24)/2)))),0)</f>
        <v>100</v>
      </c>
      <c r="E4">
        <f t="shared" ref="E4:E67" si="7">ROUNDDOWN(($E$2*(1 + ((1/17) * ((B4 - 24)/2)))),0)</f>
        <v>87</v>
      </c>
      <c r="F4">
        <f t="shared" si="0"/>
        <v>660</v>
      </c>
      <c r="G4">
        <f t="shared" si="1"/>
        <v>700</v>
      </c>
      <c r="H4">
        <f t="shared" si="2"/>
        <v>522</v>
      </c>
      <c r="I4">
        <f t="shared" si="3"/>
        <v>1882</v>
      </c>
      <c r="J4">
        <f t="shared" ref="J4:J67" si="8">J3+I4</f>
        <v>5355</v>
      </c>
      <c r="K4">
        <f t="shared" si="4"/>
        <v>1</v>
      </c>
      <c r="L4">
        <f t="shared" ref="L4:L67" si="9">IF(K4=0,0,L3+1)</f>
        <v>3</v>
      </c>
    </row>
    <row r="5" spans="1:13" x14ac:dyDescent="0.25">
      <c r="A5" s="1">
        <v>44716</v>
      </c>
      <c r="B5">
        <v>27</v>
      </c>
      <c r="C5">
        <f t="shared" si="5"/>
        <v>132</v>
      </c>
      <c r="D5">
        <f t="shared" si="6"/>
        <v>100</v>
      </c>
      <c r="E5">
        <f t="shared" si="7"/>
        <v>87</v>
      </c>
      <c r="F5">
        <f t="shared" si="0"/>
        <v>660</v>
      </c>
      <c r="G5">
        <f t="shared" si="1"/>
        <v>700</v>
      </c>
      <c r="H5">
        <f t="shared" si="2"/>
        <v>522</v>
      </c>
      <c r="I5">
        <f t="shared" si="3"/>
        <v>1882</v>
      </c>
      <c r="J5">
        <f t="shared" si="8"/>
        <v>7237</v>
      </c>
      <c r="K5">
        <f t="shared" si="4"/>
        <v>1</v>
      </c>
      <c r="L5">
        <f t="shared" si="9"/>
        <v>4</v>
      </c>
    </row>
    <row r="6" spans="1:13" x14ac:dyDescent="0.25">
      <c r="A6" s="1">
        <v>44717</v>
      </c>
      <c r="B6">
        <v>27</v>
      </c>
      <c r="C6">
        <f t="shared" si="5"/>
        <v>132</v>
      </c>
      <c r="D6">
        <f t="shared" si="6"/>
        <v>100</v>
      </c>
      <c r="E6">
        <f t="shared" si="7"/>
        <v>87</v>
      </c>
      <c r="F6">
        <f t="shared" si="0"/>
        <v>660</v>
      </c>
      <c r="G6">
        <f t="shared" si="1"/>
        <v>700</v>
      </c>
      <c r="H6">
        <f t="shared" si="2"/>
        <v>522</v>
      </c>
      <c r="I6">
        <f t="shared" si="3"/>
        <v>1882</v>
      </c>
      <c r="J6">
        <f t="shared" si="8"/>
        <v>9119</v>
      </c>
      <c r="K6">
        <f t="shared" si="4"/>
        <v>1</v>
      </c>
      <c r="L6">
        <f t="shared" si="9"/>
        <v>5</v>
      </c>
    </row>
    <row r="7" spans="1:13" x14ac:dyDescent="0.25">
      <c r="A7" s="1">
        <v>44718</v>
      </c>
      <c r="B7">
        <v>22</v>
      </c>
      <c r="C7">
        <f t="shared" si="5"/>
        <v>111</v>
      </c>
      <c r="D7">
        <f t="shared" si="6"/>
        <v>83</v>
      </c>
      <c r="E7">
        <f t="shared" si="7"/>
        <v>75</v>
      </c>
      <c r="F7">
        <f t="shared" si="0"/>
        <v>555</v>
      </c>
      <c r="G7">
        <f t="shared" si="1"/>
        <v>581</v>
      </c>
      <c r="H7">
        <f t="shared" si="2"/>
        <v>450</v>
      </c>
      <c r="I7">
        <f t="shared" si="3"/>
        <v>1586</v>
      </c>
      <c r="J7">
        <f t="shared" si="8"/>
        <v>10705</v>
      </c>
      <c r="K7">
        <f t="shared" si="4"/>
        <v>1</v>
      </c>
      <c r="L7">
        <f t="shared" si="9"/>
        <v>6</v>
      </c>
    </row>
    <row r="8" spans="1:13" x14ac:dyDescent="0.25">
      <c r="A8" s="1">
        <v>44719</v>
      </c>
      <c r="B8">
        <v>25</v>
      </c>
      <c r="C8">
        <f t="shared" si="5"/>
        <v>124</v>
      </c>
      <c r="D8">
        <f t="shared" si="6"/>
        <v>93</v>
      </c>
      <c r="E8">
        <f t="shared" si="7"/>
        <v>82</v>
      </c>
      <c r="F8">
        <f t="shared" si="0"/>
        <v>620</v>
      </c>
      <c r="G8">
        <f t="shared" si="1"/>
        <v>651</v>
      </c>
      <c r="H8">
        <f t="shared" si="2"/>
        <v>492</v>
      </c>
      <c r="I8">
        <f t="shared" si="3"/>
        <v>1763</v>
      </c>
      <c r="J8">
        <f t="shared" si="8"/>
        <v>12468</v>
      </c>
      <c r="K8">
        <f t="shared" si="4"/>
        <v>1</v>
      </c>
      <c r="L8">
        <f t="shared" si="9"/>
        <v>7</v>
      </c>
    </row>
    <row r="9" spans="1:13" x14ac:dyDescent="0.25">
      <c r="A9" s="1">
        <v>44720</v>
      </c>
      <c r="B9">
        <v>25</v>
      </c>
      <c r="C9">
        <f t="shared" si="5"/>
        <v>124</v>
      </c>
      <c r="D9">
        <f t="shared" si="6"/>
        <v>93</v>
      </c>
      <c r="E9">
        <f t="shared" si="7"/>
        <v>82</v>
      </c>
      <c r="F9">
        <f t="shared" si="0"/>
        <v>620</v>
      </c>
      <c r="G9">
        <f t="shared" si="1"/>
        <v>651</v>
      </c>
      <c r="H9">
        <f t="shared" si="2"/>
        <v>492</v>
      </c>
      <c r="I9">
        <f t="shared" si="3"/>
        <v>1763</v>
      </c>
      <c r="J9">
        <f t="shared" si="8"/>
        <v>14231</v>
      </c>
      <c r="K9">
        <f t="shared" si="4"/>
        <v>1</v>
      </c>
      <c r="L9">
        <f t="shared" si="9"/>
        <v>8</v>
      </c>
    </row>
    <row r="10" spans="1:13" x14ac:dyDescent="0.25">
      <c r="A10" s="1">
        <v>44721</v>
      </c>
      <c r="B10">
        <v>21</v>
      </c>
      <c r="C10">
        <f t="shared" si="5"/>
        <v>107</v>
      </c>
      <c r="D10">
        <f t="shared" si="6"/>
        <v>79</v>
      </c>
      <c r="E10">
        <f t="shared" si="7"/>
        <v>72</v>
      </c>
      <c r="F10">
        <f t="shared" si="0"/>
        <v>535</v>
      </c>
      <c r="G10">
        <f t="shared" si="1"/>
        <v>553</v>
      </c>
      <c r="H10">
        <f t="shared" si="2"/>
        <v>432</v>
      </c>
      <c r="I10">
        <f t="shared" si="3"/>
        <v>1520</v>
      </c>
      <c r="J10">
        <f t="shared" si="8"/>
        <v>15751</v>
      </c>
      <c r="K10">
        <f t="shared" si="4"/>
        <v>1</v>
      </c>
      <c r="L10">
        <f t="shared" si="9"/>
        <v>9</v>
      </c>
    </row>
    <row r="11" spans="1:13" x14ac:dyDescent="0.25">
      <c r="A11" s="1">
        <v>44722</v>
      </c>
      <c r="B11">
        <v>21</v>
      </c>
      <c r="C11">
        <f t="shared" si="5"/>
        <v>107</v>
      </c>
      <c r="D11">
        <f t="shared" si="6"/>
        <v>79</v>
      </c>
      <c r="E11">
        <f t="shared" si="7"/>
        <v>72</v>
      </c>
      <c r="F11">
        <f t="shared" si="0"/>
        <v>535</v>
      </c>
      <c r="G11">
        <f t="shared" si="1"/>
        <v>553</v>
      </c>
      <c r="H11">
        <f t="shared" si="2"/>
        <v>432</v>
      </c>
      <c r="I11">
        <f t="shared" si="3"/>
        <v>1520</v>
      </c>
      <c r="J11">
        <f t="shared" si="8"/>
        <v>17271</v>
      </c>
      <c r="K11">
        <f t="shared" si="4"/>
        <v>1</v>
      </c>
      <c r="L11">
        <f t="shared" si="9"/>
        <v>10</v>
      </c>
    </row>
    <row r="12" spans="1:13" x14ac:dyDescent="0.25">
      <c r="A12" s="1">
        <v>44723</v>
      </c>
      <c r="B12">
        <v>19</v>
      </c>
      <c r="C12">
        <f t="shared" si="5"/>
        <v>99</v>
      </c>
      <c r="D12">
        <f t="shared" si="6"/>
        <v>72</v>
      </c>
      <c r="E12">
        <f t="shared" si="7"/>
        <v>68</v>
      </c>
      <c r="F12">
        <f t="shared" si="0"/>
        <v>495</v>
      </c>
      <c r="G12">
        <f t="shared" si="1"/>
        <v>504</v>
      </c>
      <c r="H12">
        <f t="shared" si="2"/>
        <v>408</v>
      </c>
      <c r="I12">
        <f t="shared" si="3"/>
        <v>1407</v>
      </c>
      <c r="J12">
        <f t="shared" si="8"/>
        <v>18678</v>
      </c>
      <c r="K12">
        <f t="shared" si="4"/>
        <v>0</v>
      </c>
      <c r="L12">
        <f t="shared" si="9"/>
        <v>0</v>
      </c>
    </row>
    <row r="13" spans="1:13" x14ac:dyDescent="0.25">
      <c r="A13" s="1">
        <v>44724</v>
      </c>
      <c r="B13">
        <v>19</v>
      </c>
      <c r="C13">
        <f t="shared" si="5"/>
        <v>99</v>
      </c>
      <c r="D13">
        <f t="shared" si="6"/>
        <v>72</v>
      </c>
      <c r="E13">
        <f t="shared" si="7"/>
        <v>68</v>
      </c>
      <c r="F13">
        <f t="shared" si="0"/>
        <v>495</v>
      </c>
      <c r="G13">
        <f t="shared" si="1"/>
        <v>504</v>
      </c>
      <c r="H13">
        <f t="shared" si="2"/>
        <v>408</v>
      </c>
      <c r="I13">
        <f t="shared" si="3"/>
        <v>1407</v>
      </c>
      <c r="J13">
        <f t="shared" si="8"/>
        <v>20085</v>
      </c>
      <c r="K13">
        <f t="shared" si="4"/>
        <v>0</v>
      </c>
      <c r="L13">
        <f t="shared" si="9"/>
        <v>0</v>
      </c>
    </row>
    <row r="14" spans="1:13" x14ac:dyDescent="0.25">
      <c r="A14" s="1">
        <v>44725</v>
      </c>
      <c r="B14">
        <v>15</v>
      </c>
      <c r="C14">
        <f t="shared" si="5"/>
        <v>82</v>
      </c>
      <c r="D14">
        <f t="shared" si="6"/>
        <v>58</v>
      </c>
      <c r="E14">
        <f t="shared" si="7"/>
        <v>58</v>
      </c>
      <c r="F14">
        <f t="shared" si="0"/>
        <v>410</v>
      </c>
      <c r="G14">
        <f t="shared" si="1"/>
        <v>406</v>
      </c>
      <c r="H14">
        <f t="shared" si="2"/>
        <v>348</v>
      </c>
      <c r="I14">
        <f t="shared" si="3"/>
        <v>1164</v>
      </c>
      <c r="J14">
        <f t="shared" si="8"/>
        <v>21249</v>
      </c>
      <c r="K14">
        <f t="shared" si="4"/>
        <v>0</v>
      </c>
      <c r="L14">
        <f t="shared" si="9"/>
        <v>0</v>
      </c>
    </row>
    <row r="15" spans="1:13" x14ac:dyDescent="0.25">
      <c r="A15" s="1">
        <v>44726</v>
      </c>
      <c r="B15">
        <v>21</v>
      </c>
      <c r="C15">
        <f t="shared" si="5"/>
        <v>107</v>
      </c>
      <c r="D15">
        <f t="shared" si="6"/>
        <v>79</v>
      </c>
      <c r="E15">
        <f t="shared" si="7"/>
        <v>72</v>
      </c>
      <c r="F15">
        <f t="shared" si="0"/>
        <v>535</v>
      </c>
      <c r="G15">
        <f t="shared" si="1"/>
        <v>553</v>
      </c>
      <c r="H15">
        <f t="shared" si="2"/>
        <v>432</v>
      </c>
      <c r="I15">
        <f t="shared" si="3"/>
        <v>1520</v>
      </c>
      <c r="J15">
        <f t="shared" si="8"/>
        <v>22769</v>
      </c>
      <c r="K15">
        <f t="shared" si="4"/>
        <v>1</v>
      </c>
      <c r="L15">
        <f t="shared" si="9"/>
        <v>1</v>
      </c>
    </row>
    <row r="16" spans="1:13" x14ac:dyDescent="0.25">
      <c r="A16" s="1">
        <v>44727</v>
      </c>
      <c r="B16">
        <v>23</v>
      </c>
      <c r="C16">
        <f t="shared" si="5"/>
        <v>115</v>
      </c>
      <c r="D16">
        <f t="shared" si="6"/>
        <v>86</v>
      </c>
      <c r="E16">
        <f t="shared" si="7"/>
        <v>77</v>
      </c>
      <c r="F16">
        <f t="shared" si="0"/>
        <v>575</v>
      </c>
      <c r="G16">
        <f t="shared" si="1"/>
        <v>602</v>
      </c>
      <c r="H16">
        <f t="shared" si="2"/>
        <v>462</v>
      </c>
      <c r="I16">
        <f t="shared" si="3"/>
        <v>1639</v>
      </c>
      <c r="J16">
        <f t="shared" si="8"/>
        <v>24408</v>
      </c>
      <c r="K16">
        <f t="shared" si="4"/>
        <v>1</v>
      </c>
      <c r="L16">
        <f t="shared" si="9"/>
        <v>2</v>
      </c>
    </row>
    <row r="17" spans="1:12" x14ac:dyDescent="0.25">
      <c r="A17" s="1">
        <v>44728</v>
      </c>
      <c r="B17">
        <v>23</v>
      </c>
      <c r="C17">
        <f t="shared" si="5"/>
        <v>115</v>
      </c>
      <c r="D17">
        <f t="shared" si="6"/>
        <v>86</v>
      </c>
      <c r="E17">
        <f t="shared" si="7"/>
        <v>77</v>
      </c>
      <c r="F17">
        <f t="shared" si="0"/>
        <v>575</v>
      </c>
      <c r="G17">
        <f t="shared" si="1"/>
        <v>602</v>
      </c>
      <c r="H17">
        <f t="shared" si="2"/>
        <v>462</v>
      </c>
      <c r="I17">
        <f t="shared" si="3"/>
        <v>1639</v>
      </c>
      <c r="J17">
        <f t="shared" si="8"/>
        <v>26047</v>
      </c>
      <c r="K17">
        <f t="shared" si="4"/>
        <v>1</v>
      </c>
      <c r="L17">
        <f t="shared" si="9"/>
        <v>3</v>
      </c>
    </row>
    <row r="18" spans="1:12" x14ac:dyDescent="0.25">
      <c r="A18" s="1">
        <v>44729</v>
      </c>
      <c r="B18">
        <v>16</v>
      </c>
      <c r="C18">
        <f t="shared" si="5"/>
        <v>86</v>
      </c>
      <c r="D18">
        <f t="shared" si="6"/>
        <v>62</v>
      </c>
      <c r="E18">
        <f t="shared" si="7"/>
        <v>61</v>
      </c>
      <c r="F18">
        <f t="shared" si="0"/>
        <v>430</v>
      </c>
      <c r="G18">
        <f t="shared" si="1"/>
        <v>434</v>
      </c>
      <c r="H18">
        <f t="shared" si="2"/>
        <v>366</v>
      </c>
      <c r="I18">
        <f t="shared" si="3"/>
        <v>1230</v>
      </c>
      <c r="J18">
        <f t="shared" si="8"/>
        <v>27277</v>
      </c>
      <c r="K18">
        <f t="shared" si="4"/>
        <v>0</v>
      </c>
      <c r="L18">
        <f t="shared" si="9"/>
        <v>0</v>
      </c>
    </row>
    <row r="19" spans="1:12" x14ac:dyDescent="0.25">
      <c r="A19" s="1">
        <v>44730</v>
      </c>
      <c r="B19">
        <v>21</v>
      </c>
      <c r="C19">
        <f t="shared" si="5"/>
        <v>107</v>
      </c>
      <c r="D19">
        <f t="shared" si="6"/>
        <v>79</v>
      </c>
      <c r="E19">
        <f t="shared" si="7"/>
        <v>72</v>
      </c>
      <c r="F19">
        <f t="shared" si="0"/>
        <v>535</v>
      </c>
      <c r="G19">
        <f t="shared" si="1"/>
        <v>553</v>
      </c>
      <c r="H19">
        <f t="shared" si="2"/>
        <v>432</v>
      </c>
      <c r="I19">
        <f t="shared" si="3"/>
        <v>1520</v>
      </c>
      <c r="J19">
        <f t="shared" si="8"/>
        <v>28797</v>
      </c>
      <c r="K19">
        <f t="shared" si="4"/>
        <v>1</v>
      </c>
      <c r="L19">
        <f t="shared" si="9"/>
        <v>1</v>
      </c>
    </row>
    <row r="20" spans="1:12" x14ac:dyDescent="0.25">
      <c r="A20" s="1">
        <v>44731</v>
      </c>
      <c r="B20">
        <v>22</v>
      </c>
      <c r="C20">
        <f t="shared" si="5"/>
        <v>111</v>
      </c>
      <c r="D20">
        <f t="shared" si="6"/>
        <v>83</v>
      </c>
      <c r="E20">
        <f t="shared" si="7"/>
        <v>75</v>
      </c>
      <c r="F20">
        <f t="shared" si="0"/>
        <v>555</v>
      </c>
      <c r="G20">
        <f t="shared" si="1"/>
        <v>581</v>
      </c>
      <c r="H20">
        <f t="shared" si="2"/>
        <v>450</v>
      </c>
      <c r="I20">
        <f t="shared" si="3"/>
        <v>1586</v>
      </c>
      <c r="J20">
        <f t="shared" si="8"/>
        <v>30383</v>
      </c>
      <c r="K20">
        <f t="shared" si="4"/>
        <v>1</v>
      </c>
      <c r="L20">
        <f t="shared" si="9"/>
        <v>2</v>
      </c>
    </row>
    <row r="21" spans="1:12" x14ac:dyDescent="0.25">
      <c r="A21" s="1">
        <v>44732</v>
      </c>
      <c r="B21">
        <v>22</v>
      </c>
      <c r="C21">
        <f t="shared" si="5"/>
        <v>111</v>
      </c>
      <c r="D21">
        <f t="shared" si="6"/>
        <v>83</v>
      </c>
      <c r="E21">
        <f t="shared" si="7"/>
        <v>75</v>
      </c>
      <c r="F21">
        <f t="shared" si="0"/>
        <v>555</v>
      </c>
      <c r="G21">
        <f t="shared" si="1"/>
        <v>581</v>
      </c>
      <c r="H21">
        <f t="shared" si="2"/>
        <v>450</v>
      </c>
      <c r="I21">
        <f t="shared" si="3"/>
        <v>1586</v>
      </c>
      <c r="J21">
        <f t="shared" si="8"/>
        <v>31969</v>
      </c>
      <c r="K21">
        <f t="shared" si="4"/>
        <v>1</v>
      </c>
      <c r="L21">
        <f t="shared" si="9"/>
        <v>3</v>
      </c>
    </row>
    <row r="22" spans="1:12" x14ac:dyDescent="0.25">
      <c r="A22" s="1">
        <v>44733</v>
      </c>
      <c r="B22">
        <v>22</v>
      </c>
      <c r="C22">
        <f t="shared" si="5"/>
        <v>111</v>
      </c>
      <c r="D22">
        <f t="shared" si="6"/>
        <v>83</v>
      </c>
      <c r="E22">
        <f t="shared" si="7"/>
        <v>75</v>
      </c>
      <c r="F22">
        <f t="shared" si="0"/>
        <v>555</v>
      </c>
      <c r="G22">
        <f t="shared" si="1"/>
        <v>581</v>
      </c>
      <c r="H22">
        <f t="shared" si="2"/>
        <v>450</v>
      </c>
      <c r="I22">
        <f t="shared" si="3"/>
        <v>1586</v>
      </c>
      <c r="J22">
        <f t="shared" si="8"/>
        <v>33555</v>
      </c>
      <c r="K22">
        <f t="shared" si="4"/>
        <v>1</v>
      </c>
      <c r="L22">
        <f t="shared" si="9"/>
        <v>4</v>
      </c>
    </row>
    <row r="23" spans="1:12" x14ac:dyDescent="0.25">
      <c r="A23" s="1">
        <v>44734</v>
      </c>
      <c r="B23">
        <v>28</v>
      </c>
      <c r="C23">
        <f t="shared" si="5"/>
        <v>136</v>
      </c>
      <c r="D23">
        <f t="shared" si="6"/>
        <v>103</v>
      </c>
      <c r="E23">
        <f t="shared" si="7"/>
        <v>89</v>
      </c>
      <c r="F23">
        <f t="shared" si="0"/>
        <v>680</v>
      </c>
      <c r="G23">
        <f t="shared" si="1"/>
        <v>721</v>
      </c>
      <c r="H23">
        <f t="shared" si="2"/>
        <v>534</v>
      </c>
      <c r="I23">
        <f t="shared" si="3"/>
        <v>1935</v>
      </c>
      <c r="J23">
        <f t="shared" si="8"/>
        <v>35490</v>
      </c>
      <c r="K23">
        <f t="shared" si="4"/>
        <v>1</v>
      </c>
      <c r="L23">
        <f t="shared" si="9"/>
        <v>5</v>
      </c>
    </row>
    <row r="24" spans="1:12" x14ac:dyDescent="0.25">
      <c r="A24" s="1">
        <v>44735</v>
      </c>
      <c r="B24">
        <v>31</v>
      </c>
      <c r="C24">
        <f t="shared" si="5"/>
        <v>148</v>
      </c>
      <c r="D24">
        <f t="shared" si="6"/>
        <v>114</v>
      </c>
      <c r="E24">
        <f t="shared" si="7"/>
        <v>96</v>
      </c>
      <c r="F24">
        <f t="shared" si="0"/>
        <v>740</v>
      </c>
      <c r="G24">
        <f t="shared" si="1"/>
        <v>798</v>
      </c>
      <c r="H24">
        <f t="shared" si="2"/>
        <v>576</v>
      </c>
      <c r="I24">
        <f t="shared" si="3"/>
        <v>2114</v>
      </c>
      <c r="J24">
        <f t="shared" si="8"/>
        <v>37604</v>
      </c>
      <c r="K24">
        <f t="shared" si="4"/>
        <v>1</v>
      </c>
      <c r="L24">
        <f t="shared" si="9"/>
        <v>6</v>
      </c>
    </row>
    <row r="25" spans="1:12" x14ac:dyDescent="0.25">
      <c r="A25" s="1">
        <v>44736</v>
      </c>
      <c r="B25">
        <v>33</v>
      </c>
      <c r="C25">
        <f t="shared" si="5"/>
        <v>157</v>
      </c>
      <c r="D25">
        <f t="shared" si="6"/>
        <v>121</v>
      </c>
      <c r="E25">
        <f t="shared" si="7"/>
        <v>101</v>
      </c>
      <c r="F25">
        <f t="shared" si="0"/>
        <v>785</v>
      </c>
      <c r="G25">
        <f t="shared" si="1"/>
        <v>847</v>
      </c>
      <c r="H25">
        <f t="shared" si="2"/>
        <v>606</v>
      </c>
      <c r="I25">
        <f t="shared" si="3"/>
        <v>2238</v>
      </c>
      <c r="J25">
        <f t="shared" si="8"/>
        <v>39842</v>
      </c>
      <c r="K25">
        <f t="shared" si="4"/>
        <v>1</v>
      </c>
      <c r="L25">
        <f t="shared" si="9"/>
        <v>7</v>
      </c>
    </row>
    <row r="26" spans="1:12" x14ac:dyDescent="0.25">
      <c r="A26" s="1">
        <v>44737</v>
      </c>
      <c r="B26">
        <v>33</v>
      </c>
      <c r="C26">
        <f t="shared" si="5"/>
        <v>157</v>
      </c>
      <c r="D26">
        <f t="shared" si="6"/>
        <v>121</v>
      </c>
      <c r="E26">
        <f t="shared" si="7"/>
        <v>101</v>
      </c>
      <c r="F26">
        <f t="shared" si="0"/>
        <v>785</v>
      </c>
      <c r="G26">
        <f t="shared" si="1"/>
        <v>847</v>
      </c>
      <c r="H26">
        <f t="shared" si="2"/>
        <v>606</v>
      </c>
      <c r="I26">
        <f t="shared" si="3"/>
        <v>2238</v>
      </c>
      <c r="J26">
        <f t="shared" si="8"/>
        <v>42080</v>
      </c>
      <c r="K26">
        <f t="shared" si="4"/>
        <v>1</v>
      </c>
      <c r="L26">
        <f t="shared" si="9"/>
        <v>8</v>
      </c>
    </row>
    <row r="27" spans="1:12" x14ac:dyDescent="0.25">
      <c r="A27" s="1">
        <v>44738</v>
      </c>
      <c r="B27">
        <v>23</v>
      </c>
      <c r="C27">
        <f t="shared" si="5"/>
        <v>115</v>
      </c>
      <c r="D27">
        <f t="shared" si="6"/>
        <v>86</v>
      </c>
      <c r="E27">
        <f t="shared" si="7"/>
        <v>77</v>
      </c>
      <c r="F27">
        <f t="shared" si="0"/>
        <v>575</v>
      </c>
      <c r="G27">
        <f t="shared" si="1"/>
        <v>602</v>
      </c>
      <c r="H27">
        <f t="shared" si="2"/>
        <v>462</v>
      </c>
      <c r="I27">
        <f t="shared" si="3"/>
        <v>1639</v>
      </c>
      <c r="J27">
        <f t="shared" si="8"/>
        <v>43719</v>
      </c>
      <c r="K27">
        <f t="shared" si="4"/>
        <v>1</v>
      </c>
      <c r="L27">
        <f t="shared" si="9"/>
        <v>9</v>
      </c>
    </row>
    <row r="28" spans="1:12" x14ac:dyDescent="0.25">
      <c r="A28" s="2">
        <v>44739</v>
      </c>
      <c r="B28" s="3">
        <v>23</v>
      </c>
      <c r="C28" s="3">
        <f t="shared" si="5"/>
        <v>115</v>
      </c>
      <c r="D28" s="3">
        <f t="shared" si="6"/>
        <v>86</v>
      </c>
      <c r="E28" s="3">
        <f t="shared" si="7"/>
        <v>77</v>
      </c>
      <c r="F28" s="3">
        <f t="shared" si="0"/>
        <v>575</v>
      </c>
      <c r="G28" s="3">
        <f t="shared" si="1"/>
        <v>602</v>
      </c>
      <c r="H28" s="3">
        <f t="shared" si="2"/>
        <v>462</v>
      </c>
      <c r="I28" s="3">
        <f t="shared" si="3"/>
        <v>1639</v>
      </c>
      <c r="J28" s="3">
        <f t="shared" si="8"/>
        <v>45358</v>
      </c>
      <c r="K28">
        <f t="shared" si="4"/>
        <v>1</v>
      </c>
      <c r="L28">
        <f t="shared" si="9"/>
        <v>10</v>
      </c>
    </row>
    <row r="29" spans="1:12" x14ac:dyDescent="0.25">
      <c r="A29" s="1">
        <v>44740</v>
      </c>
      <c r="B29">
        <v>19</v>
      </c>
      <c r="C29">
        <f t="shared" si="5"/>
        <v>99</v>
      </c>
      <c r="D29">
        <f t="shared" si="6"/>
        <v>72</v>
      </c>
      <c r="E29">
        <f t="shared" si="7"/>
        <v>68</v>
      </c>
      <c r="F29">
        <f t="shared" si="0"/>
        <v>495</v>
      </c>
      <c r="G29">
        <f t="shared" si="1"/>
        <v>504</v>
      </c>
      <c r="H29">
        <f t="shared" si="2"/>
        <v>408</v>
      </c>
      <c r="I29">
        <f t="shared" si="3"/>
        <v>1407</v>
      </c>
      <c r="J29">
        <f t="shared" si="8"/>
        <v>46765</v>
      </c>
      <c r="K29">
        <f t="shared" si="4"/>
        <v>0</v>
      </c>
      <c r="L29">
        <f t="shared" si="9"/>
        <v>0</v>
      </c>
    </row>
    <row r="30" spans="1:12" x14ac:dyDescent="0.25">
      <c r="A30" s="1">
        <v>44741</v>
      </c>
      <c r="B30">
        <v>24</v>
      </c>
      <c r="C30">
        <f t="shared" si="5"/>
        <v>120</v>
      </c>
      <c r="D30">
        <f t="shared" si="6"/>
        <v>90</v>
      </c>
      <c r="E30">
        <f t="shared" si="7"/>
        <v>80</v>
      </c>
      <c r="F30">
        <f t="shared" si="0"/>
        <v>600</v>
      </c>
      <c r="G30">
        <f t="shared" si="1"/>
        <v>630</v>
      </c>
      <c r="H30">
        <f t="shared" si="2"/>
        <v>480</v>
      </c>
      <c r="I30">
        <f t="shared" si="3"/>
        <v>1710</v>
      </c>
      <c r="J30">
        <f t="shared" si="8"/>
        <v>48475</v>
      </c>
      <c r="K30">
        <f t="shared" si="4"/>
        <v>1</v>
      </c>
      <c r="L30">
        <f t="shared" si="9"/>
        <v>1</v>
      </c>
    </row>
    <row r="31" spans="1:12" x14ac:dyDescent="0.25">
      <c r="A31" s="1">
        <v>44742</v>
      </c>
      <c r="B31">
        <v>25</v>
      </c>
      <c r="C31">
        <f t="shared" si="5"/>
        <v>124</v>
      </c>
      <c r="D31">
        <f t="shared" si="6"/>
        <v>93</v>
      </c>
      <c r="E31">
        <f t="shared" si="7"/>
        <v>82</v>
      </c>
      <c r="F31">
        <f t="shared" si="0"/>
        <v>620</v>
      </c>
      <c r="G31">
        <f t="shared" si="1"/>
        <v>651</v>
      </c>
      <c r="H31">
        <f t="shared" si="2"/>
        <v>492</v>
      </c>
      <c r="I31">
        <f t="shared" si="3"/>
        <v>1763</v>
      </c>
      <c r="J31">
        <f t="shared" si="8"/>
        <v>50238</v>
      </c>
      <c r="K31">
        <f t="shared" si="4"/>
        <v>1</v>
      </c>
      <c r="L31">
        <f t="shared" si="9"/>
        <v>2</v>
      </c>
    </row>
    <row r="32" spans="1:12" x14ac:dyDescent="0.25">
      <c r="A32" s="1">
        <v>44743</v>
      </c>
      <c r="B32">
        <v>27</v>
      </c>
      <c r="C32">
        <f t="shared" si="5"/>
        <v>132</v>
      </c>
      <c r="D32">
        <f t="shared" si="6"/>
        <v>100</v>
      </c>
      <c r="E32">
        <f t="shared" si="7"/>
        <v>87</v>
      </c>
      <c r="F32">
        <f t="shared" si="0"/>
        <v>660</v>
      </c>
      <c r="G32">
        <f t="shared" si="1"/>
        <v>700</v>
      </c>
      <c r="H32">
        <f t="shared" si="2"/>
        <v>522</v>
      </c>
      <c r="I32">
        <f t="shared" si="3"/>
        <v>1882</v>
      </c>
      <c r="J32">
        <f t="shared" si="8"/>
        <v>52120</v>
      </c>
      <c r="K32">
        <f t="shared" si="4"/>
        <v>1</v>
      </c>
      <c r="L32">
        <f t="shared" si="9"/>
        <v>3</v>
      </c>
    </row>
    <row r="33" spans="1:12" x14ac:dyDescent="0.25">
      <c r="A33" s="1">
        <v>44744</v>
      </c>
      <c r="B33">
        <v>27</v>
      </c>
      <c r="C33">
        <f t="shared" si="5"/>
        <v>132</v>
      </c>
      <c r="D33">
        <f t="shared" si="6"/>
        <v>100</v>
      </c>
      <c r="E33">
        <f t="shared" si="7"/>
        <v>87</v>
      </c>
      <c r="F33">
        <f t="shared" si="0"/>
        <v>660</v>
      </c>
      <c r="G33">
        <f t="shared" si="1"/>
        <v>700</v>
      </c>
      <c r="H33">
        <f t="shared" si="2"/>
        <v>522</v>
      </c>
      <c r="I33">
        <f t="shared" si="3"/>
        <v>1882</v>
      </c>
      <c r="J33">
        <f t="shared" si="8"/>
        <v>54002</v>
      </c>
      <c r="K33">
        <f t="shared" si="4"/>
        <v>1</v>
      </c>
      <c r="L33">
        <f t="shared" si="9"/>
        <v>4</v>
      </c>
    </row>
    <row r="34" spans="1:12" x14ac:dyDescent="0.25">
      <c r="A34" s="1">
        <v>44745</v>
      </c>
      <c r="B34">
        <v>21</v>
      </c>
      <c r="C34">
        <f t="shared" si="5"/>
        <v>107</v>
      </c>
      <c r="D34">
        <f t="shared" si="6"/>
        <v>79</v>
      </c>
      <c r="E34">
        <f t="shared" si="7"/>
        <v>72</v>
      </c>
      <c r="F34">
        <f t="shared" si="0"/>
        <v>535</v>
      </c>
      <c r="G34">
        <f t="shared" si="1"/>
        <v>553</v>
      </c>
      <c r="H34">
        <f t="shared" si="2"/>
        <v>432</v>
      </c>
      <c r="I34">
        <f t="shared" si="3"/>
        <v>1520</v>
      </c>
      <c r="J34">
        <f t="shared" si="8"/>
        <v>55522</v>
      </c>
      <c r="K34">
        <f t="shared" si="4"/>
        <v>1</v>
      </c>
      <c r="L34">
        <f t="shared" si="9"/>
        <v>5</v>
      </c>
    </row>
    <row r="35" spans="1:12" x14ac:dyDescent="0.25">
      <c r="A35" s="1">
        <v>44746</v>
      </c>
      <c r="B35">
        <v>21</v>
      </c>
      <c r="C35">
        <f t="shared" si="5"/>
        <v>107</v>
      </c>
      <c r="D35">
        <f t="shared" si="6"/>
        <v>79</v>
      </c>
      <c r="E35">
        <f t="shared" si="7"/>
        <v>72</v>
      </c>
      <c r="F35">
        <f t="shared" si="0"/>
        <v>535</v>
      </c>
      <c r="G35">
        <f t="shared" si="1"/>
        <v>553</v>
      </c>
      <c r="H35">
        <f t="shared" si="2"/>
        <v>432</v>
      </c>
      <c r="I35">
        <f t="shared" si="3"/>
        <v>1520</v>
      </c>
      <c r="J35">
        <f t="shared" si="8"/>
        <v>57042</v>
      </c>
      <c r="K35">
        <f t="shared" si="4"/>
        <v>1</v>
      </c>
      <c r="L35">
        <f t="shared" si="9"/>
        <v>6</v>
      </c>
    </row>
    <row r="36" spans="1:12" x14ac:dyDescent="0.25">
      <c r="A36" s="1">
        <v>44747</v>
      </c>
      <c r="B36">
        <v>25</v>
      </c>
      <c r="C36">
        <f t="shared" si="5"/>
        <v>124</v>
      </c>
      <c r="D36">
        <f t="shared" si="6"/>
        <v>93</v>
      </c>
      <c r="E36">
        <f t="shared" si="7"/>
        <v>82</v>
      </c>
      <c r="F36">
        <f t="shared" si="0"/>
        <v>620</v>
      </c>
      <c r="G36">
        <f t="shared" si="1"/>
        <v>651</v>
      </c>
      <c r="H36">
        <f t="shared" si="2"/>
        <v>492</v>
      </c>
      <c r="I36">
        <f t="shared" si="3"/>
        <v>1763</v>
      </c>
      <c r="J36">
        <f t="shared" si="8"/>
        <v>58805</v>
      </c>
      <c r="K36">
        <f t="shared" si="4"/>
        <v>1</v>
      </c>
      <c r="L36">
        <f t="shared" si="9"/>
        <v>7</v>
      </c>
    </row>
    <row r="37" spans="1:12" x14ac:dyDescent="0.25">
      <c r="A37" s="1">
        <v>44748</v>
      </c>
      <c r="B37">
        <v>19</v>
      </c>
      <c r="C37">
        <f t="shared" si="5"/>
        <v>99</v>
      </c>
      <c r="D37">
        <f t="shared" si="6"/>
        <v>72</v>
      </c>
      <c r="E37">
        <f t="shared" si="7"/>
        <v>68</v>
      </c>
      <c r="F37">
        <f t="shared" si="0"/>
        <v>495</v>
      </c>
      <c r="G37">
        <f t="shared" si="1"/>
        <v>504</v>
      </c>
      <c r="H37">
        <f t="shared" si="2"/>
        <v>408</v>
      </c>
      <c r="I37">
        <f t="shared" si="3"/>
        <v>1407</v>
      </c>
      <c r="J37">
        <f t="shared" si="8"/>
        <v>60212</v>
      </c>
      <c r="K37">
        <f t="shared" si="4"/>
        <v>0</v>
      </c>
      <c r="L37">
        <f t="shared" si="9"/>
        <v>0</v>
      </c>
    </row>
    <row r="38" spans="1:12" x14ac:dyDescent="0.25">
      <c r="A38" s="1">
        <v>44749</v>
      </c>
      <c r="B38">
        <v>21</v>
      </c>
      <c r="C38">
        <f t="shared" si="5"/>
        <v>107</v>
      </c>
      <c r="D38">
        <f t="shared" si="6"/>
        <v>79</v>
      </c>
      <c r="E38">
        <f t="shared" si="7"/>
        <v>72</v>
      </c>
      <c r="F38">
        <f t="shared" si="0"/>
        <v>535</v>
      </c>
      <c r="G38">
        <f t="shared" si="1"/>
        <v>553</v>
      </c>
      <c r="H38">
        <f t="shared" si="2"/>
        <v>432</v>
      </c>
      <c r="I38">
        <f t="shared" si="3"/>
        <v>1520</v>
      </c>
      <c r="J38">
        <f t="shared" si="8"/>
        <v>61732</v>
      </c>
      <c r="K38">
        <f t="shared" si="4"/>
        <v>1</v>
      </c>
      <c r="L38">
        <f t="shared" si="9"/>
        <v>1</v>
      </c>
    </row>
    <row r="39" spans="1:12" x14ac:dyDescent="0.25">
      <c r="A39" s="1">
        <v>44750</v>
      </c>
      <c r="B39">
        <v>24</v>
      </c>
      <c r="C39">
        <f t="shared" si="5"/>
        <v>120</v>
      </c>
      <c r="D39">
        <f t="shared" si="6"/>
        <v>90</v>
      </c>
      <c r="E39">
        <f t="shared" si="7"/>
        <v>80</v>
      </c>
      <c r="F39">
        <f t="shared" si="0"/>
        <v>600</v>
      </c>
      <c r="G39">
        <f t="shared" si="1"/>
        <v>630</v>
      </c>
      <c r="H39">
        <f t="shared" si="2"/>
        <v>480</v>
      </c>
      <c r="I39">
        <f t="shared" si="3"/>
        <v>1710</v>
      </c>
      <c r="J39">
        <f t="shared" si="8"/>
        <v>63442</v>
      </c>
      <c r="K39">
        <f t="shared" si="4"/>
        <v>1</v>
      </c>
      <c r="L39">
        <f t="shared" si="9"/>
        <v>2</v>
      </c>
    </row>
    <row r="40" spans="1:12" x14ac:dyDescent="0.25">
      <c r="A40" s="1">
        <v>44751</v>
      </c>
      <c r="B40">
        <v>19</v>
      </c>
      <c r="C40">
        <f t="shared" si="5"/>
        <v>99</v>
      </c>
      <c r="D40">
        <f t="shared" si="6"/>
        <v>72</v>
      </c>
      <c r="E40">
        <f t="shared" si="7"/>
        <v>68</v>
      </c>
      <c r="F40">
        <f t="shared" si="0"/>
        <v>495</v>
      </c>
      <c r="G40">
        <f t="shared" si="1"/>
        <v>504</v>
      </c>
      <c r="H40">
        <f t="shared" si="2"/>
        <v>408</v>
      </c>
      <c r="I40">
        <f t="shared" si="3"/>
        <v>1407</v>
      </c>
      <c r="J40">
        <f t="shared" si="8"/>
        <v>64849</v>
      </c>
      <c r="K40">
        <f t="shared" si="4"/>
        <v>0</v>
      </c>
      <c r="L40">
        <f t="shared" si="9"/>
        <v>0</v>
      </c>
    </row>
    <row r="41" spans="1:12" x14ac:dyDescent="0.25">
      <c r="A41" s="1">
        <v>44752</v>
      </c>
      <c r="B41">
        <v>28</v>
      </c>
      <c r="C41">
        <f t="shared" si="5"/>
        <v>136</v>
      </c>
      <c r="D41">
        <f t="shared" si="6"/>
        <v>103</v>
      </c>
      <c r="E41">
        <f t="shared" si="7"/>
        <v>89</v>
      </c>
      <c r="F41">
        <f t="shared" si="0"/>
        <v>680</v>
      </c>
      <c r="G41">
        <f t="shared" si="1"/>
        <v>721</v>
      </c>
      <c r="H41">
        <f t="shared" si="2"/>
        <v>534</v>
      </c>
      <c r="I41">
        <f t="shared" si="3"/>
        <v>1935</v>
      </c>
      <c r="J41">
        <f t="shared" si="8"/>
        <v>66784</v>
      </c>
      <c r="K41">
        <f t="shared" si="4"/>
        <v>1</v>
      </c>
      <c r="L41">
        <f t="shared" si="9"/>
        <v>1</v>
      </c>
    </row>
    <row r="42" spans="1:12" x14ac:dyDescent="0.25">
      <c r="A42" s="1">
        <v>44753</v>
      </c>
      <c r="B42">
        <v>27</v>
      </c>
      <c r="C42">
        <f t="shared" si="5"/>
        <v>132</v>
      </c>
      <c r="D42">
        <f t="shared" si="6"/>
        <v>100</v>
      </c>
      <c r="E42">
        <f t="shared" si="7"/>
        <v>87</v>
      </c>
      <c r="F42">
        <f t="shared" si="0"/>
        <v>660</v>
      </c>
      <c r="G42">
        <f t="shared" si="1"/>
        <v>700</v>
      </c>
      <c r="H42">
        <f t="shared" si="2"/>
        <v>522</v>
      </c>
      <c r="I42">
        <f t="shared" si="3"/>
        <v>1882</v>
      </c>
      <c r="J42">
        <f t="shared" si="8"/>
        <v>68666</v>
      </c>
      <c r="K42">
        <f t="shared" si="4"/>
        <v>1</v>
      </c>
      <c r="L42">
        <f t="shared" si="9"/>
        <v>2</v>
      </c>
    </row>
    <row r="43" spans="1:12" x14ac:dyDescent="0.25">
      <c r="A43" s="1">
        <v>44754</v>
      </c>
      <c r="B43">
        <v>24</v>
      </c>
      <c r="C43">
        <f t="shared" si="5"/>
        <v>120</v>
      </c>
      <c r="D43">
        <f t="shared" si="6"/>
        <v>90</v>
      </c>
      <c r="E43">
        <f t="shared" si="7"/>
        <v>80</v>
      </c>
      <c r="F43">
        <f t="shared" si="0"/>
        <v>600</v>
      </c>
      <c r="G43">
        <f t="shared" si="1"/>
        <v>630</v>
      </c>
      <c r="H43">
        <f t="shared" si="2"/>
        <v>480</v>
      </c>
      <c r="I43">
        <f t="shared" si="3"/>
        <v>1710</v>
      </c>
      <c r="J43">
        <f t="shared" si="8"/>
        <v>70376</v>
      </c>
      <c r="K43">
        <f t="shared" si="4"/>
        <v>1</v>
      </c>
      <c r="L43">
        <f t="shared" si="9"/>
        <v>3</v>
      </c>
    </row>
    <row r="44" spans="1:12" x14ac:dyDescent="0.25">
      <c r="A44" s="1">
        <v>44755</v>
      </c>
      <c r="B44">
        <v>22</v>
      </c>
      <c r="C44">
        <f t="shared" si="5"/>
        <v>111</v>
      </c>
      <c r="D44">
        <f t="shared" si="6"/>
        <v>83</v>
      </c>
      <c r="E44">
        <f t="shared" si="7"/>
        <v>75</v>
      </c>
      <c r="F44">
        <f t="shared" si="0"/>
        <v>555</v>
      </c>
      <c r="G44">
        <f t="shared" si="1"/>
        <v>581</v>
      </c>
      <c r="H44">
        <f t="shared" si="2"/>
        <v>450</v>
      </c>
      <c r="I44">
        <f t="shared" si="3"/>
        <v>1586</v>
      </c>
      <c r="J44">
        <f t="shared" si="8"/>
        <v>71962</v>
      </c>
      <c r="K44">
        <f t="shared" si="4"/>
        <v>1</v>
      </c>
      <c r="L44">
        <f t="shared" si="9"/>
        <v>4</v>
      </c>
    </row>
    <row r="45" spans="1:12" x14ac:dyDescent="0.25">
      <c r="A45" s="1">
        <v>44756</v>
      </c>
      <c r="B45">
        <v>17</v>
      </c>
      <c r="C45">
        <f t="shared" si="5"/>
        <v>91</v>
      </c>
      <c r="D45">
        <f t="shared" si="6"/>
        <v>65</v>
      </c>
      <c r="E45">
        <f t="shared" si="7"/>
        <v>63</v>
      </c>
      <c r="F45">
        <f t="shared" si="0"/>
        <v>455</v>
      </c>
      <c r="G45">
        <f t="shared" si="1"/>
        <v>455</v>
      </c>
      <c r="H45">
        <f t="shared" si="2"/>
        <v>378</v>
      </c>
      <c r="I45">
        <f t="shared" si="3"/>
        <v>1288</v>
      </c>
      <c r="J45">
        <f t="shared" si="8"/>
        <v>73250</v>
      </c>
      <c r="K45">
        <f t="shared" si="4"/>
        <v>0</v>
      </c>
      <c r="L45">
        <f t="shared" si="9"/>
        <v>0</v>
      </c>
    </row>
    <row r="46" spans="1:12" x14ac:dyDescent="0.25">
      <c r="A46" s="1">
        <v>44757</v>
      </c>
      <c r="B46">
        <v>18</v>
      </c>
      <c r="C46">
        <f t="shared" si="5"/>
        <v>95</v>
      </c>
      <c r="D46">
        <f t="shared" si="6"/>
        <v>69</v>
      </c>
      <c r="E46">
        <f t="shared" si="7"/>
        <v>65</v>
      </c>
      <c r="F46">
        <f t="shared" si="0"/>
        <v>475</v>
      </c>
      <c r="G46">
        <f t="shared" si="1"/>
        <v>483</v>
      </c>
      <c r="H46">
        <f t="shared" si="2"/>
        <v>390</v>
      </c>
      <c r="I46">
        <f t="shared" si="3"/>
        <v>1348</v>
      </c>
      <c r="J46">
        <f t="shared" si="8"/>
        <v>74598</v>
      </c>
      <c r="K46">
        <f t="shared" si="4"/>
        <v>0</v>
      </c>
      <c r="L46">
        <f t="shared" si="9"/>
        <v>0</v>
      </c>
    </row>
    <row r="47" spans="1:12" x14ac:dyDescent="0.25">
      <c r="A47" s="1">
        <v>44758</v>
      </c>
      <c r="B47">
        <v>23</v>
      </c>
      <c r="C47">
        <f t="shared" si="5"/>
        <v>115</v>
      </c>
      <c r="D47">
        <f t="shared" si="6"/>
        <v>86</v>
      </c>
      <c r="E47">
        <f t="shared" si="7"/>
        <v>77</v>
      </c>
      <c r="F47">
        <f t="shared" si="0"/>
        <v>575</v>
      </c>
      <c r="G47">
        <f t="shared" si="1"/>
        <v>602</v>
      </c>
      <c r="H47">
        <f t="shared" si="2"/>
        <v>462</v>
      </c>
      <c r="I47">
        <f t="shared" si="3"/>
        <v>1639</v>
      </c>
      <c r="J47">
        <f t="shared" si="8"/>
        <v>76237</v>
      </c>
      <c r="K47">
        <f t="shared" si="4"/>
        <v>1</v>
      </c>
      <c r="L47">
        <f t="shared" si="9"/>
        <v>1</v>
      </c>
    </row>
    <row r="48" spans="1:12" x14ac:dyDescent="0.25">
      <c r="A48" s="1">
        <v>44759</v>
      </c>
      <c r="B48">
        <v>23</v>
      </c>
      <c r="C48">
        <f t="shared" si="5"/>
        <v>115</v>
      </c>
      <c r="D48">
        <f t="shared" si="6"/>
        <v>86</v>
      </c>
      <c r="E48">
        <f t="shared" si="7"/>
        <v>77</v>
      </c>
      <c r="F48">
        <f t="shared" si="0"/>
        <v>575</v>
      </c>
      <c r="G48">
        <f t="shared" si="1"/>
        <v>602</v>
      </c>
      <c r="H48">
        <f t="shared" si="2"/>
        <v>462</v>
      </c>
      <c r="I48">
        <f t="shared" si="3"/>
        <v>1639</v>
      </c>
      <c r="J48">
        <f t="shared" si="8"/>
        <v>77876</v>
      </c>
      <c r="K48">
        <f t="shared" si="4"/>
        <v>1</v>
      </c>
      <c r="L48">
        <f t="shared" si="9"/>
        <v>2</v>
      </c>
    </row>
    <row r="49" spans="1:12" x14ac:dyDescent="0.25">
      <c r="A49" s="1">
        <v>44760</v>
      </c>
      <c r="B49">
        <v>19</v>
      </c>
      <c r="C49">
        <f t="shared" si="5"/>
        <v>99</v>
      </c>
      <c r="D49">
        <f t="shared" si="6"/>
        <v>72</v>
      </c>
      <c r="E49">
        <f t="shared" si="7"/>
        <v>68</v>
      </c>
      <c r="F49">
        <f t="shared" si="0"/>
        <v>495</v>
      </c>
      <c r="G49">
        <f t="shared" si="1"/>
        <v>504</v>
      </c>
      <c r="H49">
        <f t="shared" si="2"/>
        <v>408</v>
      </c>
      <c r="I49">
        <f t="shared" si="3"/>
        <v>1407</v>
      </c>
      <c r="J49">
        <f t="shared" si="8"/>
        <v>79283</v>
      </c>
      <c r="K49">
        <f t="shared" si="4"/>
        <v>0</v>
      </c>
      <c r="L49">
        <f t="shared" si="9"/>
        <v>0</v>
      </c>
    </row>
    <row r="50" spans="1:12" x14ac:dyDescent="0.25">
      <c r="A50" s="1">
        <v>44761</v>
      </c>
      <c r="B50">
        <v>21</v>
      </c>
      <c r="C50">
        <f t="shared" si="5"/>
        <v>107</v>
      </c>
      <c r="D50">
        <f t="shared" si="6"/>
        <v>79</v>
      </c>
      <c r="E50">
        <f t="shared" si="7"/>
        <v>72</v>
      </c>
      <c r="F50">
        <f t="shared" si="0"/>
        <v>535</v>
      </c>
      <c r="G50">
        <f t="shared" si="1"/>
        <v>553</v>
      </c>
      <c r="H50">
        <f t="shared" si="2"/>
        <v>432</v>
      </c>
      <c r="I50">
        <f t="shared" si="3"/>
        <v>1520</v>
      </c>
      <c r="J50">
        <f t="shared" si="8"/>
        <v>80803</v>
      </c>
      <c r="K50">
        <f t="shared" si="4"/>
        <v>1</v>
      </c>
      <c r="L50">
        <f t="shared" si="9"/>
        <v>1</v>
      </c>
    </row>
    <row r="51" spans="1:12" x14ac:dyDescent="0.25">
      <c r="A51" s="1">
        <v>44762</v>
      </c>
      <c r="B51">
        <v>25</v>
      </c>
      <c r="C51">
        <f t="shared" si="5"/>
        <v>124</v>
      </c>
      <c r="D51">
        <f t="shared" si="6"/>
        <v>93</v>
      </c>
      <c r="E51">
        <f t="shared" si="7"/>
        <v>82</v>
      </c>
      <c r="F51">
        <f t="shared" si="0"/>
        <v>620</v>
      </c>
      <c r="G51">
        <f t="shared" si="1"/>
        <v>651</v>
      </c>
      <c r="H51">
        <f t="shared" si="2"/>
        <v>492</v>
      </c>
      <c r="I51">
        <f t="shared" si="3"/>
        <v>1763</v>
      </c>
      <c r="J51">
        <f t="shared" si="8"/>
        <v>82566</v>
      </c>
      <c r="K51">
        <f t="shared" si="4"/>
        <v>1</v>
      </c>
      <c r="L51">
        <f t="shared" si="9"/>
        <v>2</v>
      </c>
    </row>
    <row r="52" spans="1:12" x14ac:dyDescent="0.25">
      <c r="A52" s="1">
        <v>44763</v>
      </c>
      <c r="B52">
        <v>28</v>
      </c>
      <c r="C52">
        <f t="shared" si="5"/>
        <v>136</v>
      </c>
      <c r="D52">
        <f t="shared" si="6"/>
        <v>103</v>
      </c>
      <c r="E52">
        <f t="shared" si="7"/>
        <v>89</v>
      </c>
      <c r="F52">
        <f t="shared" si="0"/>
        <v>680</v>
      </c>
      <c r="G52">
        <f t="shared" si="1"/>
        <v>721</v>
      </c>
      <c r="H52">
        <f t="shared" si="2"/>
        <v>534</v>
      </c>
      <c r="I52">
        <f t="shared" si="3"/>
        <v>1935</v>
      </c>
      <c r="J52">
        <f t="shared" si="8"/>
        <v>84501</v>
      </c>
      <c r="K52">
        <f t="shared" si="4"/>
        <v>1</v>
      </c>
      <c r="L52">
        <f t="shared" si="9"/>
        <v>3</v>
      </c>
    </row>
    <row r="53" spans="1:12" x14ac:dyDescent="0.25">
      <c r="A53" s="1">
        <v>44764</v>
      </c>
      <c r="B53">
        <v>27</v>
      </c>
      <c r="C53">
        <f t="shared" si="5"/>
        <v>132</v>
      </c>
      <c r="D53">
        <f t="shared" si="6"/>
        <v>100</v>
      </c>
      <c r="E53">
        <f t="shared" si="7"/>
        <v>87</v>
      </c>
      <c r="F53">
        <f t="shared" si="0"/>
        <v>660</v>
      </c>
      <c r="G53">
        <f t="shared" si="1"/>
        <v>700</v>
      </c>
      <c r="H53">
        <f t="shared" si="2"/>
        <v>522</v>
      </c>
      <c r="I53">
        <f t="shared" si="3"/>
        <v>1882</v>
      </c>
      <c r="J53">
        <f t="shared" si="8"/>
        <v>86383</v>
      </c>
      <c r="K53">
        <f t="shared" si="4"/>
        <v>1</v>
      </c>
      <c r="L53">
        <f t="shared" si="9"/>
        <v>4</v>
      </c>
    </row>
    <row r="54" spans="1:12" x14ac:dyDescent="0.25">
      <c r="A54" s="1">
        <v>44765</v>
      </c>
      <c r="B54">
        <v>23</v>
      </c>
      <c r="C54">
        <f t="shared" si="5"/>
        <v>115</v>
      </c>
      <c r="D54">
        <f t="shared" si="6"/>
        <v>86</v>
      </c>
      <c r="E54">
        <f t="shared" si="7"/>
        <v>77</v>
      </c>
      <c r="F54">
        <f t="shared" si="0"/>
        <v>575</v>
      </c>
      <c r="G54">
        <f t="shared" si="1"/>
        <v>602</v>
      </c>
      <c r="H54">
        <f t="shared" si="2"/>
        <v>462</v>
      </c>
      <c r="I54">
        <f t="shared" si="3"/>
        <v>1639</v>
      </c>
      <c r="J54">
        <f t="shared" si="8"/>
        <v>88022</v>
      </c>
      <c r="K54">
        <f t="shared" si="4"/>
        <v>1</v>
      </c>
      <c r="L54">
        <f t="shared" si="9"/>
        <v>5</v>
      </c>
    </row>
    <row r="55" spans="1:12" x14ac:dyDescent="0.25">
      <c r="A55" s="1">
        <v>44766</v>
      </c>
      <c r="B55">
        <v>26</v>
      </c>
      <c r="C55">
        <f t="shared" si="5"/>
        <v>128</v>
      </c>
      <c r="D55">
        <f t="shared" si="6"/>
        <v>96</v>
      </c>
      <c r="E55">
        <f t="shared" si="7"/>
        <v>84</v>
      </c>
      <c r="F55">
        <f t="shared" si="0"/>
        <v>640</v>
      </c>
      <c r="G55">
        <f t="shared" si="1"/>
        <v>672</v>
      </c>
      <c r="H55">
        <f t="shared" si="2"/>
        <v>504</v>
      </c>
      <c r="I55">
        <f t="shared" si="3"/>
        <v>1816</v>
      </c>
      <c r="J55">
        <f t="shared" si="8"/>
        <v>89838</v>
      </c>
      <c r="K55">
        <f t="shared" si="4"/>
        <v>1</v>
      </c>
      <c r="L55">
        <f t="shared" si="9"/>
        <v>6</v>
      </c>
    </row>
    <row r="56" spans="1:12" x14ac:dyDescent="0.25">
      <c r="A56" s="1">
        <v>44767</v>
      </c>
      <c r="B56">
        <v>29</v>
      </c>
      <c r="C56">
        <f t="shared" si="5"/>
        <v>140</v>
      </c>
      <c r="D56">
        <f t="shared" si="6"/>
        <v>107</v>
      </c>
      <c r="E56">
        <f t="shared" si="7"/>
        <v>91</v>
      </c>
      <c r="F56">
        <f t="shared" si="0"/>
        <v>700</v>
      </c>
      <c r="G56">
        <f t="shared" si="1"/>
        <v>749</v>
      </c>
      <c r="H56">
        <f t="shared" si="2"/>
        <v>546</v>
      </c>
      <c r="I56">
        <f t="shared" si="3"/>
        <v>1995</v>
      </c>
      <c r="J56">
        <f t="shared" si="8"/>
        <v>91833</v>
      </c>
      <c r="K56">
        <f t="shared" si="4"/>
        <v>1</v>
      </c>
      <c r="L56">
        <f t="shared" si="9"/>
        <v>7</v>
      </c>
    </row>
    <row r="57" spans="1:12" x14ac:dyDescent="0.25">
      <c r="A57" s="1">
        <v>44768</v>
      </c>
      <c r="B57">
        <v>26</v>
      </c>
      <c r="C57">
        <f t="shared" si="5"/>
        <v>128</v>
      </c>
      <c r="D57">
        <f t="shared" si="6"/>
        <v>96</v>
      </c>
      <c r="E57">
        <f t="shared" si="7"/>
        <v>84</v>
      </c>
      <c r="F57">
        <f t="shared" si="0"/>
        <v>640</v>
      </c>
      <c r="G57">
        <f t="shared" si="1"/>
        <v>672</v>
      </c>
      <c r="H57">
        <f t="shared" si="2"/>
        <v>504</v>
      </c>
      <c r="I57">
        <f t="shared" si="3"/>
        <v>1816</v>
      </c>
      <c r="J57">
        <f t="shared" si="8"/>
        <v>93649</v>
      </c>
      <c r="K57">
        <f t="shared" si="4"/>
        <v>1</v>
      </c>
      <c r="L57">
        <f t="shared" si="9"/>
        <v>8</v>
      </c>
    </row>
    <row r="58" spans="1:12" x14ac:dyDescent="0.25">
      <c r="A58" s="1">
        <v>44769</v>
      </c>
      <c r="B58">
        <v>27</v>
      </c>
      <c r="C58">
        <f t="shared" si="5"/>
        <v>132</v>
      </c>
      <c r="D58">
        <f t="shared" si="6"/>
        <v>100</v>
      </c>
      <c r="E58">
        <f t="shared" si="7"/>
        <v>87</v>
      </c>
      <c r="F58">
        <f t="shared" si="0"/>
        <v>660</v>
      </c>
      <c r="G58">
        <f t="shared" si="1"/>
        <v>700</v>
      </c>
      <c r="H58">
        <f t="shared" si="2"/>
        <v>522</v>
      </c>
      <c r="I58">
        <f t="shared" si="3"/>
        <v>1882</v>
      </c>
      <c r="J58">
        <f t="shared" si="8"/>
        <v>95531</v>
      </c>
      <c r="K58">
        <f t="shared" si="4"/>
        <v>1</v>
      </c>
      <c r="L58">
        <f t="shared" si="9"/>
        <v>9</v>
      </c>
    </row>
    <row r="59" spans="1:12" x14ac:dyDescent="0.25">
      <c r="A59" s="1">
        <v>44770</v>
      </c>
      <c r="B59">
        <v>24</v>
      </c>
      <c r="C59">
        <f t="shared" si="5"/>
        <v>120</v>
      </c>
      <c r="D59">
        <f t="shared" si="6"/>
        <v>90</v>
      </c>
      <c r="E59">
        <f t="shared" si="7"/>
        <v>80</v>
      </c>
      <c r="F59">
        <f t="shared" si="0"/>
        <v>600</v>
      </c>
      <c r="G59">
        <f t="shared" si="1"/>
        <v>630</v>
      </c>
      <c r="H59">
        <f t="shared" si="2"/>
        <v>480</v>
      </c>
      <c r="I59">
        <f t="shared" si="3"/>
        <v>1710</v>
      </c>
      <c r="J59">
        <f t="shared" si="8"/>
        <v>97241</v>
      </c>
      <c r="K59">
        <f t="shared" si="4"/>
        <v>1</v>
      </c>
      <c r="L59">
        <f t="shared" si="9"/>
        <v>10</v>
      </c>
    </row>
    <row r="60" spans="1:12" x14ac:dyDescent="0.25">
      <c r="A60" s="1">
        <v>44771</v>
      </c>
      <c r="B60">
        <v>26</v>
      </c>
      <c r="C60">
        <f t="shared" si="5"/>
        <v>128</v>
      </c>
      <c r="D60">
        <f t="shared" si="6"/>
        <v>96</v>
      </c>
      <c r="E60">
        <f t="shared" si="7"/>
        <v>84</v>
      </c>
      <c r="F60">
        <f t="shared" si="0"/>
        <v>640</v>
      </c>
      <c r="G60">
        <f t="shared" si="1"/>
        <v>672</v>
      </c>
      <c r="H60">
        <f t="shared" si="2"/>
        <v>504</v>
      </c>
      <c r="I60">
        <f t="shared" si="3"/>
        <v>1816</v>
      </c>
      <c r="J60">
        <f t="shared" si="8"/>
        <v>99057</v>
      </c>
      <c r="K60">
        <f t="shared" si="4"/>
        <v>1</v>
      </c>
      <c r="L60">
        <f t="shared" si="9"/>
        <v>11</v>
      </c>
    </row>
    <row r="61" spans="1:12" x14ac:dyDescent="0.25">
      <c r="A61" s="1">
        <v>44772</v>
      </c>
      <c r="B61">
        <v>25</v>
      </c>
      <c r="C61">
        <f t="shared" si="5"/>
        <v>124</v>
      </c>
      <c r="D61">
        <f t="shared" si="6"/>
        <v>93</v>
      </c>
      <c r="E61">
        <f t="shared" si="7"/>
        <v>82</v>
      </c>
      <c r="F61">
        <f t="shared" si="0"/>
        <v>620</v>
      </c>
      <c r="G61">
        <f t="shared" si="1"/>
        <v>651</v>
      </c>
      <c r="H61">
        <f t="shared" si="2"/>
        <v>492</v>
      </c>
      <c r="I61">
        <f t="shared" si="3"/>
        <v>1763</v>
      </c>
      <c r="J61">
        <f t="shared" si="8"/>
        <v>100820</v>
      </c>
      <c r="K61">
        <f t="shared" si="4"/>
        <v>1</v>
      </c>
      <c r="L61">
        <f t="shared" si="9"/>
        <v>12</v>
      </c>
    </row>
    <row r="62" spans="1:12" x14ac:dyDescent="0.25">
      <c r="A62" s="1">
        <v>44773</v>
      </c>
      <c r="B62">
        <v>24</v>
      </c>
      <c r="C62">
        <f t="shared" si="5"/>
        <v>120</v>
      </c>
      <c r="D62">
        <f t="shared" si="6"/>
        <v>90</v>
      </c>
      <c r="E62">
        <f t="shared" si="7"/>
        <v>80</v>
      </c>
      <c r="F62">
        <f t="shared" si="0"/>
        <v>600</v>
      </c>
      <c r="G62">
        <f t="shared" si="1"/>
        <v>630</v>
      </c>
      <c r="H62">
        <f t="shared" si="2"/>
        <v>480</v>
      </c>
      <c r="I62">
        <f t="shared" si="3"/>
        <v>1710</v>
      </c>
      <c r="J62">
        <f t="shared" si="8"/>
        <v>102530</v>
      </c>
      <c r="K62">
        <f t="shared" si="4"/>
        <v>1</v>
      </c>
      <c r="L62">
        <f t="shared" si="9"/>
        <v>13</v>
      </c>
    </row>
    <row r="63" spans="1:12" x14ac:dyDescent="0.25">
      <c r="A63" s="1">
        <v>44774</v>
      </c>
      <c r="B63">
        <v>22</v>
      </c>
      <c r="C63">
        <f t="shared" si="5"/>
        <v>111</v>
      </c>
      <c r="D63">
        <f t="shared" si="6"/>
        <v>83</v>
      </c>
      <c r="E63">
        <f t="shared" si="7"/>
        <v>75</v>
      </c>
      <c r="F63">
        <f t="shared" si="0"/>
        <v>555</v>
      </c>
      <c r="G63">
        <f t="shared" si="1"/>
        <v>581</v>
      </c>
      <c r="H63">
        <f t="shared" si="2"/>
        <v>450</v>
      </c>
      <c r="I63">
        <f t="shared" si="3"/>
        <v>1586</v>
      </c>
      <c r="J63">
        <f t="shared" si="8"/>
        <v>104116</v>
      </c>
      <c r="K63">
        <f t="shared" si="4"/>
        <v>1</v>
      </c>
      <c r="L63">
        <f t="shared" si="9"/>
        <v>14</v>
      </c>
    </row>
    <row r="64" spans="1:12" x14ac:dyDescent="0.25">
      <c r="A64" s="1">
        <v>44775</v>
      </c>
      <c r="B64">
        <v>19</v>
      </c>
      <c r="C64">
        <f t="shared" si="5"/>
        <v>99</v>
      </c>
      <c r="D64">
        <f t="shared" si="6"/>
        <v>72</v>
      </c>
      <c r="E64">
        <f t="shared" si="7"/>
        <v>68</v>
      </c>
      <c r="F64">
        <f t="shared" si="0"/>
        <v>495</v>
      </c>
      <c r="G64">
        <f t="shared" si="1"/>
        <v>504</v>
      </c>
      <c r="H64">
        <f t="shared" si="2"/>
        <v>408</v>
      </c>
      <c r="I64">
        <f t="shared" si="3"/>
        <v>1407</v>
      </c>
      <c r="J64">
        <f t="shared" si="8"/>
        <v>105523</v>
      </c>
      <c r="K64">
        <f t="shared" si="4"/>
        <v>0</v>
      </c>
      <c r="L64">
        <f t="shared" si="9"/>
        <v>0</v>
      </c>
    </row>
    <row r="65" spans="1:12" x14ac:dyDescent="0.25">
      <c r="A65" s="1">
        <v>44776</v>
      </c>
      <c r="B65">
        <v>21</v>
      </c>
      <c r="C65">
        <f t="shared" si="5"/>
        <v>107</v>
      </c>
      <c r="D65">
        <f t="shared" si="6"/>
        <v>79</v>
      </c>
      <c r="E65">
        <f t="shared" si="7"/>
        <v>72</v>
      </c>
      <c r="F65">
        <f t="shared" si="0"/>
        <v>535</v>
      </c>
      <c r="G65">
        <f t="shared" si="1"/>
        <v>553</v>
      </c>
      <c r="H65">
        <f t="shared" si="2"/>
        <v>432</v>
      </c>
      <c r="I65">
        <f t="shared" si="3"/>
        <v>1520</v>
      </c>
      <c r="J65">
        <f t="shared" si="8"/>
        <v>107043</v>
      </c>
      <c r="K65">
        <f t="shared" si="4"/>
        <v>1</v>
      </c>
      <c r="L65">
        <f t="shared" si="9"/>
        <v>1</v>
      </c>
    </row>
    <row r="66" spans="1:12" x14ac:dyDescent="0.25">
      <c r="A66" s="1">
        <v>44777</v>
      </c>
      <c r="B66">
        <v>26</v>
      </c>
      <c r="C66">
        <f t="shared" si="5"/>
        <v>128</v>
      </c>
      <c r="D66">
        <f t="shared" si="6"/>
        <v>96</v>
      </c>
      <c r="E66">
        <f t="shared" si="7"/>
        <v>84</v>
      </c>
      <c r="F66">
        <f t="shared" si="0"/>
        <v>640</v>
      </c>
      <c r="G66">
        <f t="shared" si="1"/>
        <v>672</v>
      </c>
      <c r="H66">
        <f t="shared" si="2"/>
        <v>504</v>
      </c>
      <c r="I66">
        <f t="shared" si="3"/>
        <v>1816</v>
      </c>
      <c r="J66">
        <f t="shared" si="8"/>
        <v>108859</v>
      </c>
      <c r="K66">
        <f t="shared" si="4"/>
        <v>1</v>
      </c>
      <c r="L66">
        <f t="shared" si="9"/>
        <v>2</v>
      </c>
    </row>
    <row r="67" spans="1:12" x14ac:dyDescent="0.25">
      <c r="A67" s="1">
        <v>44778</v>
      </c>
      <c r="B67">
        <v>19</v>
      </c>
      <c r="C67">
        <f t="shared" si="5"/>
        <v>99</v>
      </c>
      <c r="D67">
        <f t="shared" si="6"/>
        <v>72</v>
      </c>
      <c r="E67">
        <f t="shared" si="7"/>
        <v>68</v>
      </c>
      <c r="F67">
        <f t="shared" ref="F67:F123" si="10">C67*5</f>
        <v>495</v>
      </c>
      <c r="G67">
        <f t="shared" ref="G67:G123" si="11">D67*7</f>
        <v>504</v>
      </c>
      <c r="H67">
        <f t="shared" ref="H67:H123" si="12">E67*6</f>
        <v>408</v>
      </c>
      <c r="I67">
        <f t="shared" ref="I67:I123" si="13">F67+G67+H67</f>
        <v>1407</v>
      </c>
      <c r="J67">
        <f t="shared" si="8"/>
        <v>110266</v>
      </c>
      <c r="K67">
        <f t="shared" ref="K67:K123" si="14">IF(B67&gt;20,1,0)</f>
        <v>0</v>
      </c>
      <c r="L67">
        <f t="shared" si="9"/>
        <v>0</v>
      </c>
    </row>
    <row r="68" spans="1:12" x14ac:dyDescent="0.25">
      <c r="A68" s="1">
        <v>44779</v>
      </c>
      <c r="B68">
        <v>21</v>
      </c>
      <c r="C68">
        <f t="shared" ref="C68:C123" si="15">ROUNDDOWN(($C$2*(1 + ((2/29) * ((B68 - 24)/2)))),0)</f>
        <v>107</v>
      </c>
      <c r="D68">
        <f t="shared" ref="D68:D123" si="16">ROUNDDOWN(($D$2*(1 + ((1/13) * ((B68 - 24)/2)))),0)</f>
        <v>79</v>
      </c>
      <c r="E68">
        <f t="shared" ref="E68:E123" si="17">ROUNDDOWN(($E$2*(1 + ((1/17) * ((B68 - 24)/2)))),0)</f>
        <v>72</v>
      </c>
      <c r="F68">
        <f t="shared" si="10"/>
        <v>535</v>
      </c>
      <c r="G68">
        <f t="shared" si="11"/>
        <v>553</v>
      </c>
      <c r="H68">
        <f t="shared" si="12"/>
        <v>432</v>
      </c>
      <c r="I68">
        <f t="shared" si="13"/>
        <v>1520</v>
      </c>
      <c r="J68">
        <f t="shared" ref="J68:J93" si="18">J67+I68</f>
        <v>111786</v>
      </c>
      <c r="K68">
        <f t="shared" si="14"/>
        <v>1</v>
      </c>
      <c r="L68">
        <f t="shared" ref="L68:L123" si="19">IF(K68=0,0,L67+1)</f>
        <v>1</v>
      </c>
    </row>
    <row r="69" spans="1:12" x14ac:dyDescent="0.25">
      <c r="A69" s="1">
        <v>44780</v>
      </c>
      <c r="B69">
        <v>23</v>
      </c>
      <c r="C69">
        <f t="shared" si="15"/>
        <v>115</v>
      </c>
      <c r="D69">
        <f t="shared" si="16"/>
        <v>86</v>
      </c>
      <c r="E69">
        <f t="shared" si="17"/>
        <v>77</v>
      </c>
      <c r="F69">
        <f t="shared" si="10"/>
        <v>575</v>
      </c>
      <c r="G69">
        <f t="shared" si="11"/>
        <v>602</v>
      </c>
      <c r="H69">
        <f t="shared" si="12"/>
        <v>462</v>
      </c>
      <c r="I69">
        <f t="shared" si="13"/>
        <v>1639</v>
      </c>
      <c r="J69">
        <f t="shared" si="18"/>
        <v>113425</v>
      </c>
      <c r="K69">
        <f t="shared" si="14"/>
        <v>1</v>
      </c>
      <c r="L69">
        <f t="shared" si="19"/>
        <v>2</v>
      </c>
    </row>
    <row r="70" spans="1:12" x14ac:dyDescent="0.25">
      <c r="A70" s="1">
        <v>44781</v>
      </c>
      <c r="B70">
        <v>27</v>
      </c>
      <c r="C70">
        <f t="shared" si="15"/>
        <v>132</v>
      </c>
      <c r="D70">
        <f t="shared" si="16"/>
        <v>100</v>
      </c>
      <c r="E70">
        <f t="shared" si="17"/>
        <v>87</v>
      </c>
      <c r="F70">
        <f t="shared" si="10"/>
        <v>660</v>
      </c>
      <c r="G70">
        <f t="shared" si="11"/>
        <v>700</v>
      </c>
      <c r="H70">
        <f t="shared" si="12"/>
        <v>522</v>
      </c>
      <c r="I70">
        <f t="shared" si="13"/>
        <v>1882</v>
      </c>
      <c r="J70">
        <f t="shared" si="18"/>
        <v>115307</v>
      </c>
      <c r="K70">
        <f t="shared" si="14"/>
        <v>1</v>
      </c>
      <c r="L70">
        <f t="shared" si="19"/>
        <v>3</v>
      </c>
    </row>
    <row r="71" spans="1:12" x14ac:dyDescent="0.25">
      <c r="A71" s="1">
        <v>44782</v>
      </c>
      <c r="B71">
        <v>20</v>
      </c>
      <c r="C71">
        <f t="shared" si="15"/>
        <v>103</v>
      </c>
      <c r="D71">
        <f t="shared" si="16"/>
        <v>76</v>
      </c>
      <c r="E71">
        <f t="shared" si="17"/>
        <v>70</v>
      </c>
      <c r="F71">
        <f t="shared" si="10"/>
        <v>515</v>
      </c>
      <c r="G71">
        <f t="shared" si="11"/>
        <v>532</v>
      </c>
      <c r="H71">
        <f t="shared" si="12"/>
        <v>420</v>
      </c>
      <c r="I71">
        <f t="shared" si="13"/>
        <v>1467</v>
      </c>
      <c r="J71">
        <f t="shared" si="18"/>
        <v>116774</v>
      </c>
      <c r="K71">
        <f t="shared" si="14"/>
        <v>0</v>
      </c>
      <c r="L71">
        <f t="shared" si="19"/>
        <v>0</v>
      </c>
    </row>
    <row r="72" spans="1:12" x14ac:dyDescent="0.25">
      <c r="A72" s="1">
        <v>44783</v>
      </c>
      <c r="B72">
        <v>18</v>
      </c>
      <c r="C72">
        <f t="shared" si="15"/>
        <v>95</v>
      </c>
      <c r="D72">
        <f t="shared" si="16"/>
        <v>69</v>
      </c>
      <c r="E72">
        <f t="shared" si="17"/>
        <v>65</v>
      </c>
      <c r="F72">
        <f t="shared" si="10"/>
        <v>475</v>
      </c>
      <c r="G72">
        <f t="shared" si="11"/>
        <v>483</v>
      </c>
      <c r="H72">
        <f t="shared" si="12"/>
        <v>390</v>
      </c>
      <c r="I72">
        <f t="shared" si="13"/>
        <v>1348</v>
      </c>
      <c r="J72">
        <f t="shared" si="18"/>
        <v>118122</v>
      </c>
      <c r="K72">
        <f t="shared" si="14"/>
        <v>0</v>
      </c>
      <c r="L72">
        <f t="shared" si="19"/>
        <v>0</v>
      </c>
    </row>
    <row r="73" spans="1:12" x14ac:dyDescent="0.25">
      <c r="A73" s="1">
        <v>44784</v>
      </c>
      <c r="B73">
        <v>17</v>
      </c>
      <c r="C73">
        <f t="shared" si="15"/>
        <v>91</v>
      </c>
      <c r="D73">
        <f t="shared" si="16"/>
        <v>65</v>
      </c>
      <c r="E73">
        <f t="shared" si="17"/>
        <v>63</v>
      </c>
      <c r="F73">
        <f t="shared" si="10"/>
        <v>455</v>
      </c>
      <c r="G73">
        <f t="shared" si="11"/>
        <v>455</v>
      </c>
      <c r="H73">
        <f t="shared" si="12"/>
        <v>378</v>
      </c>
      <c r="I73">
        <f t="shared" si="13"/>
        <v>1288</v>
      </c>
      <c r="J73">
        <f t="shared" si="18"/>
        <v>119410</v>
      </c>
      <c r="K73">
        <f t="shared" si="14"/>
        <v>0</v>
      </c>
      <c r="L73">
        <f t="shared" si="19"/>
        <v>0</v>
      </c>
    </row>
    <row r="74" spans="1:12" x14ac:dyDescent="0.25">
      <c r="A74" s="1">
        <v>44785</v>
      </c>
      <c r="B74">
        <v>19</v>
      </c>
      <c r="C74">
        <f t="shared" si="15"/>
        <v>99</v>
      </c>
      <c r="D74">
        <f t="shared" si="16"/>
        <v>72</v>
      </c>
      <c r="E74">
        <f t="shared" si="17"/>
        <v>68</v>
      </c>
      <c r="F74">
        <f t="shared" si="10"/>
        <v>495</v>
      </c>
      <c r="G74">
        <f t="shared" si="11"/>
        <v>504</v>
      </c>
      <c r="H74">
        <f t="shared" si="12"/>
        <v>408</v>
      </c>
      <c r="I74">
        <f t="shared" si="13"/>
        <v>1407</v>
      </c>
      <c r="J74">
        <f t="shared" si="18"/>
        <v>120817</v>
      </c>
      <c r="K74">
        <f t="shared" si="14"/>
        <v>0</v>
      </c>
      <c r="L74">
        <f t="shared" si="19"/>
        <v>0</v>
      </c>
    </row>
    <row r="75" spans="1:12" x14ac:dyDescent="0.25">
      <c r="A75" s="1">
        <v>44786</v>
      </c>
      <c r="B75">
        <v>26</v>
      </c>
      <c r="C75">
        <f t="shared" si="15"/>
        <v>128</v>
      </c>
      <c r="D75">
        <f t="shared" si="16"/>
        <v>96</v>
      </c>
      <c r="E75">
        <f t="shared" si="17"/>
        <v>84</v>
      </c>
      <c r="F75">
        <f t="shared" si="10"/>
        <v>640</v>
      </c>
      <c r="G75">
        <f t="shared" si="11"/>
        <v>672</v>
      </c>
      <c r="H75">
        <f t="shared" si="12"/>
        <v>504</v>
      </c>
      <c r="I75">
        <f t="shared" si="13"/>
        <v>1816</v>
      </c>
      <c r="J75">
        <f t="shared" si="18"/>
        <v>122633</v>
      </c>
      <c r="K75">
        <f t="shared" si="14"/>
        <v>1</v>
      </c>
      <c r="L75">
        <f t="shared" si="19"/>
        <v>1</v>
      </c>
    </row>
    <row r="76" spans="1:12" x14ac:dyDescent="0.25">
      <c r="A76" s="1">
        <v>44787</v>
      </c>
      <c r="B76">
        <v>21</v>
      </c>
      <c r="C76">
        <f t="shared" si="15"/>
        <v>107</v>
      </c>
      <c r="D76">
        <f t="shared" si="16"/>
        <v>79</v>
      </c>
      <c r="E76">
        <f t="shared" si="17"/>
        <v>72</v>
      </c>
      <c r="F76">
        <f t="shared" si="10"/>
        <v>535</v>
      </c>
      <c r="G76">
        <f t="shared" si="11"/>
        <v>553</v>
      </c>
      <c r="H76">
        <f t="shared" si="12"/>
        <v>432</v>
      </c>
      <c r="I76">
        <f t="shared" si="13"/>
        <v>1520</v>
      </c>
      <c r="J76">
        <f t="shared" si="18"/>
        <v>124153</v>
      </c>
      <c r="K76">
        <f t="shared" si="14"/>
        <v>1</v>
      </c>
      <c r="L76">
        <f t="shared" si="19"/>
        <v>2</v>
      </c>
    </row>
    <row r="77" spans="1:12" x14ac:dyDescent="0.25">
      <c r="A77" s="1">
        <v>44788</v>
      </c>
      <c r="B77">
        <v>19</v>
      </c>
      <c r="C77">
        <f t="shared" si="15"/>
        <v>99</v>
      </c>
      <c r="D77">
        <f t="shared" si="16"/>
        <v>72</v>
      </c>
      <c r="E77">
        <f t="shared" si="17"/>
        <v>68</v>
      </c>
      <c r="F77">
        <f t="shared" si="10"/>
        <v>495</v>
      </c>
      <c r="G77">
        <f t="shared" si="11"/>
        <v>504</v>
      </c>
      <c r="H77">
        <f t="shared" si="12"/>
        <v>408</v>
      </c>
      <c r="I77">
        <f t="shared" si="13"/>
        <v>1407</v>
      </c>
      <c r="J77">
        <f t="shared" si="18"/>
        <v>125560</v>
      </c>
      <c r="K77">
        <f t="shared" si="14"/>
        <v>0</v>
      </c>
      <c r="L77">
        <f t="shared" si="19"/>
        <v>0</v>
      </c>
    </row>
    <row r="78" spans="1:12" x14ac:dyDescent="0.25">
      <c r="A78" s="1">
        <v>44789</v>
      </c>
      <c r="B78">
        <v>19</v>
      </c>
      <c r="C78">
        <f t="shared" si="15"/>
        <v>99</v>
      </c>
      <c r="D78">
        <f t="shared" si="16"/>
        <v>72</v>
      </c>
      <c r="E78">
        <f t="shared" si="17"/>
        <v>68</v>
      </c>
      <c r="F78">
        <f t="shared" si="10"/>
        <v>495</v>
      </c>
      <c r="G78">
        <f t="shared" si="11"/>
        <v>504</v>
      </c>
      <c r="H78">
        <f t="shared" si="12"/>
        <v>408</v>
      </c>
      <c r="I78">
        <f t="shared" si="13"/>
        <v>1407</v>
      </c>
      <c r="J78">
        <f t="shared" si="18"/>
        <v>126967</v>
      </c>
      <c r="K78">
        <f t="shared" si="14"/>
        <v>0</v>
      </c>
      <c r="L78">
        <f t="shared" si="19"/>
        <v>0</v>
      </c>
    </row>
    <row r="79" spans="1:12" x14ac:dyDescent="0.25">
      <c r="A79" s="13">
        <v>44790</v>
      </c>
      <c r="B79" s="14">
        <v>21</v>
      </c>
      <c r="C79" s="14">
        <f t="shared" si="15"/>
        <v>107</v>
      </c>
      <c r="D79" s="14">
        <f t="shared" si="16"/>
        <v>79</v>
      </c>
      <c r="E79" s="14">
        <f t="shared" si="17"/>
        <v>72</v>
      </c>
      <c r="F79" s="14">
        <f t="shared" si="10"/>
        <v>535</v>
      </c>
      <c r="G79" s="14">
        <f t="shared" si="11"/>
        <v>553</v>
      </c>
      <c r="H79" s="14">
        <f t="shared" si="12"/>
        <v>432</v>
      </c>
      <c r="I79" s="14">
        <f t="shared" si="13"/>
        <v>1520</v>
      </c>
      <c r="J79" s="14">
        <f t="shared" si="18"/>
        <v>128487</v>
      </c>
      <c r="K79" s="14">
        <f t="shared" si="14"/>
        <v>1</v>
      </c>
      <c r="L79" s="14">
        <f t="shared" si="19"/>
        <v>1</v>
      </c>
    </row>
    <row r="80" spans="1:12" x14ac:dyDescent="0.25">
      <c r="A80" s="13">
        <v>44791</v>
      </c>
      <c r="B80" s="14">
        <v>21</v>
      </c>
      <c r="C80" s="14">
        <f t="shared" si="15"/>
        <v>107</v>
      </c>
      <c r="D80" s="14">
        <f t="shared" si="16"/>
        <v>79</v>
      </c>
      <c r="E80" s="14">
        <f t="shared" si="17"/>
        <v>72</v>
      </c>
      <c r="F80" s="14">
        <f t="shared" si="10"/>
        <v>535</v>
      </c>
      <c r="G80" s="14">
        <f t="shared" si="11"/>
        <v>553</v>
      </c>
      <c r="H80" s="14">
        <f t="shared" si="12"/>
        <v>432</v>
      </c>
      <c r="I80" s="14">
        <f t="shared" si="13"/>
        <v>1520</v>
      </c>
      <c r="J80" s="14">
        <f t="shared" si="18"/>
        <v>130007</v>
      </c>
      <c r="K80" s="14">
        <f t="shared" si="14"/>
        <v>1</v>
      </c>
      <c r="L80" s="14">
        <f t="shared" si="19"/>
        <v>2</v>
      </c>
    </row>
    <row r="81" spans="1:12" x14ac:dyDescent="0.25">
      <c r="A81" s="13">
        <v>44792</v>
      </c>
      <c r="B81" s="14">
        <v>24</v>
      </c>
      <c r="C81" s="14">
        <f t="shared" si="15"/>
        <v>120</v>
      </c>
      <c r="D81" s="14">
        <f t="shared" si="16"/>
        <v>90</v>
      </c>
      <c r="E81" s="14">
        <f t="shared" si="17"/>
        <v>80</v>
      </c>
      <c r="F81" s="14">
        <f t="shared" si="10"/>
        <v>600</v>
      </c>
      <c r="G81" s="14">
        <f t="shared" si="11"/>
        <v>630</v>
      </c>
      <c r="H81" s="14">
        <f t="shared" si="12"/>
        <v>480</v>
      </c>
      <c r="I81" s="14">
        <f t="shared" si="13"/>
        <v>1710</v>
      </c>
      <c r="J81" s="14">
        <f t="shared" si="18"/>
        <v>131717</v>
      </c>
      <c r="K81" s="14">
        <f t="shared" si="14"/>
        <v>1</v>
      </c>
      <c r="L81" s="14">
        <f t="shared" si="19"/>
        <v>3</v>
      </c>
    </row>
    <row r="82" spans="1:12" x14ac:dyDescent="0.25">
      <c r="A82" s="13">
        <v>44793</v>
      </c>
      <c r="B82" s="14">
        <v>26</v>
      </c>
      <c r="C82" s="14">
        <f t="shared" si="15"/>
        <v>128</v>
      </c>
      <c r="D82" s="14">
        <f t="shared" si="16"/>
        <v>96</v>
      </c>
      <c r="E82" s="14">
        <f t="shared" si="17"/>
        <v>84</v>
      </c>
      <c r="F82" s="14">
        <f t="shared" si="10"/>
        <v>640</v>
      </c>
      <c r="G82" s="14">
        <f t="shared" si="11"/>
        <v>672</v>
      </c>
      <c r="H82" s="14">
        <f t="shared" si="12"/>
        <v>504</v>
      </c>
      <c r="I82" s="14">
        <f t="shared" si="13"/>
        <v>1816</v>
      </c>
      <c r="J82" s="14">
        <f t="shared" si="18"/>
        <v>133533</v>
      </c>
      <c r="K82" s="14">
        <f t="shared" si="14"/>
        <v>1</v>
      </c>
      <c r="L82" s="14">
        <f t="shared" si="19"/>
        <v>4</v>
      </c>
    </row>
    <row r="83" spans="1:12" x14ac:dyDescent="0.25">
      <c r="A83" s="13">
        <v>44794</v>
      </c>
      <c r="B83" s="14">
        <v>23</v>
      </c>
      <c r="C83" s="14">
        <f t="shared" si="15"/>
        <v>115</v>
      </c>
      <c r="D83" s="14">
        <f t="shared" si="16"/>
        <v>86</v>
      </c>
      <c r="E83" s="14">
        <f t="shared" si="17"/>
        <v>77</v>
      </c>
      <c r="F83" s="14">
        <f t="shared" si="10"/>
        <v>575</v>
      </c>
      <c r="G83" s="14">
        <f t="shared" si="11"/>
        <v>602</v>
      </c>
      <c r="H83" s="14">
        <f t="shared" si="12"/>
        <v>462</v>
      </c>
      <c r="I83" s="14">
        <f t="shared" si="13"/>
        <v>1639</v>
      </c>
      <c r="J83" s="14">
        <f t="shared" si="18"/>
        <v>135172</v>
      </c>
      <c r="K83" s="14">
        <f t="shared" si="14"/>
        <v>1</v>
      </c>
      <c r="L83" s="14">
        <f t="shared" si="19"/>
        <v>5</v>
      </c>
    </row>
    <row r="84" spans="1:12" x14ac:dyDescent="0.25">
      <c r="A84" s="13">
        <v>44795</v>
      </c>
      <c r="B84" s="14">
        <v>23</v>
      </c>
      <c r="C84" s="14">
        <f t="shared" si="15"/>
        <v>115</v>
      </c>
      <c r="D84" s="14">
        <f t="shared" si="16"/>
        <v>86</v>
      </c>
      <c r="E84" s="14">
        <f t="shared" si="17"/>
        <v>77</v>
      </c>
      <c r="F84" s="14">
        <f t="shared" si="10"/>
        <v>575</v>
      </c>
      <c r="G84" s="14">
        <f t="shared" si="11"/>
        <v>602</v>
      </c>
      <c r="H84" s="14">
        <f t="shared" si="12"/>
        <v>462</v>
      </c>
      <c r="I84" s="14">
        <f t="shared" si="13"/>
        <v>1639</v>
      </c>
      <c r="J84" s="14">
        <f t="shared" si="18"/>
        <v>136811</v>
      </c>
      <c r="K84" s="14">
        <f t="shared" si="14"/>
        <v>1</v>
      </c>
      <c r="L84" s="14">
        <f t="shared" si="19"/>
        <v>6</v>
      </c>
    </row>
    <row r="85" spans="1:12" x14ac:dyDescent="0.25">
      <c r="A85" s="13">
        <v>44796</v>
      </c>
      <c r="B85" s="14">
        <v>24</v>
      </c>
      <c r="C85" s="14">
        <f t="shared" si="15"/>
        <v>120</v>
      </c>
      <c r="D85" s="14">
        <f t="shared" si="16"/>
        <v>90</v>
      </c>
      <c r="E85" s="14">
        <f t="shared" si="17"/>
        <v>80</v>
      </c>
      <c r="F85" s="14">
        <f t="shared" si="10"/>
        <v>600</v>
      </c>
      <c r="G85" s="14">
        <f t="shared" si="11"/>
        <v>630</v>
      </c>
      <c r="H85" s="14">
        <f t="shared" si="12"/>
        <v>480</v>
      </c>
      <c r="I85" s="14">
        <f t="shared" si="13"/>
        <v>1710</v>
      </c>
      <c r="J85" s="14">
        <f t="shared" si="18"/>
        <v>138521</v>
      </c>
      <c r="K85" s="14">
        <f t="shared" si="14"/>
        <v>1</v>
      </c>
      <c r="L85" s="14">
        <f t="shared" si="19"/>
        <v>7</v>
      </c>
    </row>
    <row r="86" spans="1:12" x14ac:dyDescent="0.25">
      <c r="A86" s="13">
        <v>44797</v>
      </c>
      <c r="B86" s="14">
        <v>26</v>
      </c>
      <c r="C86" s="14">
        <f t="shared" si="15"/>
        <v>128</v>
      </c>
      <c r="D86" s="14">
        <f t="shared" si="16"/>
        <v>96</v>
      </c>
      <c r="E86" s="14">
        <f t="shared" si="17"/>
        <v>84</v>
      </c>
      <c r="F86" s="14">
        <f t="shared" si="10"/>
        <v>640</v>
      </c>
      <c r="G86" s="14">
        <f t="shared" si="11"/>
        <v>672</v>
      </c>
      <c r="H86" s="14">
        <f t="shared" si="12"/>
        <v>504</v>
      </c>
      <c r="I86" s="14">
        <f t="shared" si="13"/>
        <v>1816</v>
      </c>
      <c r="J86" s="14">
        <f t="shared" si="18"/>
        <v>140337</v>
      </c>
      <c r="K86" s="14">
        <f t="shared" si="14"/>
        <v>1</v>
      </c>
      <c r="L86" s="14">
        <f t="shared" si="19"/>
        <v>8</v>
      </c>
    </row>
    <row r="87" spans="1:12" x14ac:dyDescent="0.25">
      <c r="A87" s="13">
        <v>44798</v>
      </c>
      <c r="B87" s="14">
        <v>28</v>
      </c>
      <c r="C87" s="14">
        <f t="shared" si="15"/>
        <v>136</v>
      </c>
      <c r="D87" s="14">
        <f t="shared" si="16"/>
        <v>103</v>
      </c>
      <c r="E87" s="14">
        <f t="shared" si="17"/>
        <v>89</v>
      </c>
      <c r="F87" s="14">
        <f t="shared" si="10"/>
        <v>680</v>
      </c>
      <c r="G87" s="14">
        <f t="shared" si="11"/>
        <v>721</v>
      </c>
      <c r="H87" s="14">
        <f t="shared" si="12"/>
        <v>534</v>
      </c>
      <c r="I87" s="14">
        <f t="shared" si="13"/>
        <v>1935</v>
      </c>
      <c r="J87" s="14">
        <f t="shared" si="18"/>
        <v>142272</v>
      </c>
      <c r="K87" s="14">
        <f t="shared" si="14"/>
        <v>1</v>
      </c>
      <c r="L87" s="14">
        <f t="shared" si="19"/>
        <v>9</v>
      </c>
    </row>
    <row r="88" spans="1:12" x14ac:dyDescent="0.25">
      <c r="A88" s="13">
        <v>44799</v>
      </c>
      <c r="B88" s="14">
        <v>32</v>
      </c>
      <c r="C88" s="14">
        <f t="shared" si="15"/>
        <v>153</v>
      </c>
      <c r="D88" s="14">
        <f t="shared" si="16"/>
        <v>117</v>
      </c>
      <c r="E88" s="14">
        <f t="shared" si="17"/>
        <v>98</v>
      </c>
      <c r="F88" s="14">
        <f t="shared" si="10"/>
        <v>765</v>
      </c>
      <c r="G88" s="14">
        <f t="shared" si="11"/>
        <v>819</v>
      </c>
      <c r="H88" s="14">
        <f t="shared" si="12"/>
        <v>588</v>
      </c>
      <c r="I88" s="14">
        <f t="shared" si="13"/>
        <v>2172</v>
      </c>
      <c r="J88" s="14">
        <f t="shared" si="18"/>
        <v>144444</v>
      </c>
      <c r="K88" s="14">
        <f t="shared" si="14"/>
        <v>1</v>
      </c>
      <c r="L88" s="14">
        <f t="shared" si="19"/>
        <v>10</v>
      </c>
    </row>
    <row r="89" spans="1:12" x14ac:dyDescent="0.25">
      <c r="A89" s="13">
        <v>44800</v>
      </c>
      <c r="B89" s="14">
        <v>26</v>
      </c>
      <c r="C89" s="14">
        <f t="shared" si="15"/>
        <v>128</v>
      </c>
      <c r="D89" s="14">
        <f t="shared" si="16"/>
        <v>96</v>
      </c>
      <c r="E89" s="14">
        <f t="shared" si="17"/>
        <v>84</v>
      </c>
      <c r="F89" s="14">
        <f t="shared" si="10"/>
        <v>640</v>
      </c>
      <c r="G89" s="14">
        <f t="shared" si="11"/>
        <v>672</v>
      </c>
      <c r="H89" s="14">
        <f t="shared" si="12"/>
        <v>504</v>
      </c>
      <c r="I89" s="14">
        <f t="shared" si="13"/>
        <v>1816</v>
      </c>
      <c r="J89" s="14">
        <f t="shared" si="18"/>
        <v>146260</v>
      </c>
      <c r="K89" s="14">
        <f t="shared" si="14"/>
        <v>1</v>
      </c>
      <c r="L89" s="14">
        <f t="shared" si="19"/>
        <v>11</v>
      </c>
    </row>
    <row r="90" spans="1:12" x14ac:dyDescent="0.25">
      <c r="A90" s="13">
        <v>44801</v>
      </c>
      <c r="B90" s="14">
        <v>32</v>
      </c>
      <c r="C90" s="14">
        <f t="shared" si="15"/>
        <v>153</v>
      </c>
      <c r="D90" s="14">
        <f t="shared" si="16"/>
        <v>117</v>
      </c>
      <c r="E90" s="14">
        <f t="shared" si="17"/>
        <v>98</v>
      </c>
      <c r="F90" s="14">
        <f t="shared" si="10"/>
        <v>765</v>
      </c>
      <c r="G90" s="14">
        <f t="shared" si="11"/>
        <v>819</v>
      </c>
      <c r="H90" s="14">
        <f t="shared" si="12"/>
        <v>588</v>
      </c>
      <c r="I90" s="14">
        <f t="shared" si="13"/>
        <v>2172</v>
      </c>
      <c r="J90" s="14">
        <f t="shared" si="18"/>
        <v>148432</v>
      </c>
      <c r="K90" s="14">
        <f t="shared" si="14"/>
        <v>1</v>
      </c>
      <c r="L90" s="14">
        <f t="shared" si="19"/>
        <v>12</v>
      </c>
    </row>
    <row r="91" spans="1:12" x14ac:dyDescent="0.25">
      <c r="A91" s="13">
        <v>44802</v>
      </c>
      <c r="B91" s="14">
        <v>23</v>
      </c>
      <c r="C91" s="14">
        <f t="shared" si="15"/>
        <v>115</v>
      </c>
      <c r="D91" s="14">
        <f t="shared" si="16"/>
        <v>86</v>
      </c>
      <c r="E91" s="14">
        <f t="shared" si="17"/>
        <v>77</v>
      </c>
      <c r="F91" s="14">
        <f t="shared" si="10"/>
        <v>575</v>
      </c>
      <c r="G91" s="14">
        <f t="shared" si="11"/>
        <v>602</v>
      </c>
      <c r="H91" s="14">
        <f t="shared" si="12"/>
        <v>462</v>
      </c>
      <c r="I91" s="14">
        <f t="shared" si="13"/>
        <v>1639</v>
      </c>
      <c r="J91" s="14">
        <f t="shared" si="18"/>
        <v>150071</v>
      </c>
      <c r="K91" s="14">
        <f t="shared" si="14"/>
        <v>1</v>
      </c>
      <c r="L91" s="14">
        <f t="shared" si="19"/>
        <v>13</v>
      </c>
    </row>
    <row r="92" spans="1:12" x14ac:dyDescent="0.25">
      <c r="A92" s="13">
        <v>44803</v>
      </c>
      <c r="B92" s="14">
        <v>22</v>
      </c>
      <c r="C92" s="14">
        <f t="shared" si="15"/>
        <v>111</v>
      </c>
      <c r="D92" s="14">
        <f t="shared" si="16"/>
        <v>83</v>
      </c>
      <c r="E92" s="14">
        <f t="shared" si="17"/>
        <v>75</v>
      </c>
      <c r="F92" s="14">
        <f t="shared" si="10"/>
        <v>555</v>
      </c>
      <c r="G92" s="14">
        <f t="shared" si="11"/>
        <v>581</v>
      </c>
      <c r="H92" s="14">
        <f t="shared" si="12"/>
        <v>450</v>
      </c>
      <c r="I92" s="14">
        <f t="shared" si="13"/>
        <v>1586</v>
      </c>
      <c r="J92" s="14">
        <f t="shared" si="18"/>
        <v>151657</v>
      </c>
      <c r="K92" s="14">
        <f t="shared" si="14"/>
        <v>1</v>
      </c>
      <c r="L92" s="14">
        <f t="shared" si="19"/>
        <v>14</v>
      </c>
    </row>
    <row r="93" spans="1:12" x14ac:dyDescent="0.25">
      <c r="A93" s="13">
        <v>44804</v>
      </c>
      <c r="B93" s="14">
        <v>25</v>
      </c>
      <c r="C93" s="14">
        <f t="shared" si="15"/>
        <v>124</v>
      </c>
      <c r="D93" s="14">
        <f t="shared" si="16"/>
        <v>93</v>
      </c>
      <c r="E93" s="14">
        <f t="shared" si="17"/>
        <v>82</v>
      </c>
      <c r="F93" s="14">
        <f t="shared" si="10"/>
        <v>620</v>
      </c>
      <c r="G93" s="14">
        <f t="shared" si="11"/>
        <v>651</v>
      </c>
      <c r="H93" s="14">
        <f t="shared" si="12"/>
        <v>492</v>
      </c>
      <c r="I93" s="14">
        <f t="shared" si="13"/>
        <v>1763</v>
      </c>
      <c r="J93" s="14">
        <f t="shared" si="18"/>
        <v>153420</v>
      </c>
      <c r="K93" s="14">
        <f t="shared" si="14"/>
        <v>1</v>
      </c>
      <c r="L93" s="14">
        <f t="shared" si="19"/>
        <v>15</v>
      </c>
    </row>
    <row r="94" spans="1:12" x14ac:dyDescent="0.25">
      <c r="A94" s="1">
        <v>44805</v>
      </c>
      <c r="B94">
        <v>23</v>
      </c>
      <c r="C94">
        <f t="shared" si="15"/>
        <v>115</v>
      </c>
      <c r="D94">
        <f t="shared" si="16"/>
        <v>86</v>
      </c>
      <c r="E94">
        <f t="shared" si="17"/>
        <v>77</v>
      </c>
      <c r="F94">
        <f t="shared" si="10"/>
        <v>575</v>
      </c>
      <c r="G94">
        <f t="shared" si="11"/>
        <v>602</v>
      </c>
      <c r="H94">
        <f t="shared" si="12"/>
        <v>462</v>
      </c>
      <c r="I94">
        <f t="shared" si="13"/>
        <v>1639</v>
      </c>
    </row>
    <row r="95" spans="1:12" x14ac:dyDescent="0.25">
      <c r="A95" s="1">
        <v>44806</v>
      </c>
      <c r="B95">
        <v>23</v>
      </c>
      <c r="C95">
        <f t="shared" si="15"/>
        <v>115</v>
      </c>
      <c r="D95">
        <f t="shared" si="16"/>
        <v>86</v>
      </c>
      <c r="E95">
        <f t="shared" si="17"/>
        <v>77</v>
      </c>
      <c r="F95">
        <f t="shared" si="10"/>
        <v>575</v>
      </c>
      <c r="G95">
        <f t="shared" si="11"/>
        <v>602</v>
      </c>
      <c r="H95">
        <f t="shared" si="12"/>
        <v>462</v>
      </c>
      <c r="I95">
        <f t="shared" si="13"/>
        <v>1639</v>
      </c>
    </row>
    <row r="96" spans="1:12" x14ac:dyDescent="0.25">
      <c r="A96" s="1">
        <v>44807</v>
      </c>
      <c r="B96">
        <v>22</v>
      </c>
      <c r="C96">
        <f t="shared" si="15"/>
        <v>111</v>
      </c>
      <c r="D96">
        <f t="shared" si="16"/>
        <v>83</v>
      </c>
      <c r="E96">
        <f t="shared" si="17"/>
        <v>75</v>
      </c>
      <c r="F96">
        <f t="shared" si="10"/>
        <v>555</v>
      </c>
      <c r="G96">
        <f t="shared" si="11"/>
        <v>581</v>
      </c>
      <c r="H96">
        <f t="shared" si="12"/>
        <v>450</v>
      </c>
      <c r="I96">
        <f t="shared" si="13"/>
        <v>1586</v>
      </c>
    </row>
    <row r="97" spans="1:9" x14ac:dyDescent="0.25">
      <c r="A97" s="1">
        <v>44808</v>
      </c>
      <c r="B97">
        <v>22</v>
      </c>
      <c r="C97">
        <f t="shared" si="15"/>
        <v>111</v>
      </c>
      <c r="D97">
        <f t="shared" si="16"/>
        <v>83</v>
      </c>
      <c r="E97">
        <f t="shared" si="17"/>
        <v>75</v>
      </c>
      <c r="F97">
        <f t="shared" si="10"/>
        <v>555</v>
      </c>
      <c r="G97">
        <f t="shared" si="11"/>
        <v>581</v>
      </c>
      <c r="H97">
        <f t="shared" si="12"/>
        <v>450</v>
      </c>
      <c r="I97">
        <f t="shared" si="13"/>
        <v>1586</v>
      </c>
    </row>
    <row r="98" spans="1:9" x14ac:dyDescent="0.25">
      <c r="A98" s="1">
        <v>44809</v>
      </c>
      <c r="B98">
        <v>21</v>
      </c>
      <c r="C98">
        <f t="shared" si="15"/>
        <v>107</v>
      </c>
      <c r="D98">
        <f t="shared" si="16"/>
        <v>79</v>
      </c>
      <c r="E98">
        <f t="shared" si="17"/>
        <v>72</v>
      </c>
      <c r="F98">
        <f t="shared" si="10"/>
        <v>535</v>
      </c>
      <c r="G98">
        <f t="shared" si="11"/>
        <v>553</v>
      </c>
      <c r="H98">
        <f t="shared" si="12"/>
        <v>432</v>
      </c>
      <c r="I98">
        <f t="shared" si="13"/>
        <v>1520</v>
      </c>
    </row>
    <row r="99" spans="1:9" x14ac:dyDescent="0.25">
      <c r="A99" s="1">
        <v>44810</v>
      </c>
      <c r="B99">
        <v>21</v>
      </c>
      <c r="C99">
        <f t="shared" si="15"/>
        <v>107</v>
      </c>
      <c r="D99">
        <f t="shared" si="16"/>
        <v>79</v>
      </c>
      <c r="E99">
        <f t="shared" si="17"/>
        <v>72</v>
      </c>
      <c r="F99">
        <f t="shared" si="10"/>
        <v>535</v>
      </c>
      <c r="G99">
        <f t="shared" si="11"/>
        <v>553</v>
      </c>
      <c r="H99">
        <f t="shared" si="12"/>
        <v>432</v>
      </c>
      <c r="I99">
        <f t="shared" si="13"/>
        <v>1520</v>
      </c>
    </row>
    <row r="100" spans="1:9" x14ac:dyDescent="0.25">
      <c r="A100" s="1">
        <v>44811</v>
      </c>
      <c r="B100">
        <f>IF(MOD(DAY(A100),2) = 0,B99,B99-1)</f>
        <v>20</v>
      </c>
      <c r="C100">
        <f t="shared" si="15"/>
        <v>103</v>
      </c>
      <c r="D100">
        <f t="shared" si="16"/>
        <v>76</v>
      </c>
      <c r="E100">
        <f t="shared" si="17"/>
        <v>70</v>
      </c>
      <c r="F100">
        <f t="shared" si="10"/>
        <v>515</v>
      </c>
      <c r="G100">
        <f t="shared" si="11"/>
        <v>532</v>
      </c>
      <c r="H100">
        <f t="shared" si="12"/>
        <v>420</v>
      </c>
      <c r="I100">
        <f t="shared" si="13"/>
        <v>1467</v>
      </c>
    </row>
    <row r="101" spans="1:9" x14ac:dyDescent="0.25">
      <c r="A101" s="1">
        <v>44812</v>
      </c>
      <c r="B101">
        <f t="shared" ref="B101:B123" si="20">IF(MOD(DAY(A101),2) = 0,B100,B100-1)</f>
        <v>20</v>
      </c>
      <c r="C101">
        <f t="shared" si="15"/>
        <v>103</v>
      </c>
      <c r="D101">
        <f t="shared" si="16"/>
        <v>76</v>
      </c>
      <c r="E101">
        <f t="shared" si="17"/>
        <v>70</v>
      </c>
      <c r="F101">
        <f t="shared" si="10"/>
        <v>515</v>
      </c>
      <c r="G101">
        <f t="shared" si="11"/>
        <v>532</v>
      </c>
      <c r="H101">
        <f t="shared" si="12"/>
        <v>420</v>
      </c>
      <c r="I101">
        <f t="shared" si="13"/>
        <v>1467</v>
      </c>
    </row>
    <row r="102" spans="1:9" x14ac:dyDescent="0.25">
      <c r="A102" s="1">
        <v>44813</v>
      </c>
      <c r="B102">
        <f t="shared" si="20"/>
        <v>19</v>
      </c>
      <c r="C102">
        <f t="shared" si="15"/>
        <v>99</v>
      </c>
      <c r="D102">
        <f t="shared" si="16"/>
        <v>72</v>
      </c>
      <c r="E102">
        <f t="shared" si="17"/>
        <v>68</v>
      </c>
      <c r="F102">
        <f t="shared" si="10"/>
        <v>495</v>
      </c>
      <c r="G102">
        <f t="shared" si="11"/>
        <v>504</v>
      </c>
      <c r="H102">
        <f t="shared" si="12"/>
        <v>408</v>
      </c>
      <c r="I102">
        <f t="shared" si="13"/>
        <v>1407</v>
      </c>
    </row>
    <row r="103" spans="1:9" x14ac:dyDescent="0.25">
      <c r="A103" s="1">
        <v>44814</v>
      </c>
      <c r="B103">
        <f t="shared" si="20"/>
        <v>19</v>
      </c>
      <c r="C103">
        <f t="shared" si="15"/>
        <v>99</v>
      </c>
      <c r="D103">
        <f t="shared" si="16"/>
        <v>72</v>
      </c>
      <c r="E103">
        <f t="shared" si="17"/>
        <v>68</v>
      </c>
      <c r="F103">
        <f t="shared" si="10"/>
        <v>495</v>
      </c>
      <c r="G103">
        <f t="shared" si="11"/>
        <v>504</v>
      </c>
      <c r="H103">
        <f t="shared" si="12"/>
        <v>408</v>
      </c>
      <c r="I103">
        <f t="shared" si="13"/>
        <v>1407</v>
      </c>
    </row>
    <row r="104" spans="1:9" x14ac:dyDescent="0.25">
      <c r="A104" s="1">
        <v>44815</v>
      </c>
      <c r="B104">
        <f t="shared" si="20"/>
        <v>18</v>
      </c>
      <c r="C104">
        <f t="shared" si="15"/>
        <v>95</v>
      </c>
      <c r="D104">
        <f t="shared" si="16"/>
        <v>69</v>
      </c>
      <c r="E104">
        <f t="shared" si="17"/>
        <v>65</v>
      </c>
      <c r="F104">
        <f t="shared" si="10"/>
        <v>475</v>
      </c>
      <c r="G104">
        <f t="shared" si="11"/>
        <v>483</v>
      </c>
      <c r="H104">
        <f t="shared" si="12"/>
        <v>390</v>
      </c>
      <c r="I104">
        <f t="shared" si="13"/>
        <v>1348</v>
      </c>
    </row>
    <row r="105" spans="1:9" x14ac:dyDescent="0.25">
      <c r="A105" s="1">
        <v>44816</v>
      </c>
      <c r="B105">
        <f t="shared" si="20"/>
        <v>18</v>
      </c>
      <c r="C105">
        <f t="shared" si="15"/>
        <v>95</v>
      </c>
      <c r="D105">
        <f t="shared" si="16"/>
        <v>69</v>
      </c>
      <c r="E105">
        <f t="shared" si="17"/>
        <v>65</v>
      </c>
      <c r="F105">
        <f t="shared" si="10"/>
        <v>475</v>
      </c>
      <c r="G105">
        <f t="shared" si="11"/>
        <v>483</v>
      </c>
      <c r="H105">
        <f t="shared" si="12"/>
        <v>390</v>
      </c>
      <c r="I105">
        <f t="shared" si="13"/>
        <v>1348</v>
      </c>
    </row>
    <row r="106" spans="1:9" x14ac:dyDescent="0.25">
      <c r="A106" s="1">
        <v>44817</v>
      </c>
      <c r="B106">
        <f t="shared" si="20"/>
        <v>17</v>
      </c>
      <c r="C106">
        <f t="shared" si="15"/>
        <v>91</v>
      </c>
      <c r="D106">
        <f t="shared" si="16"/>
        <v>65</v>
      </c>
      <c r="E106">
        <f t="shared" si="17"/>
        <v>63</v>
      </c>
      <c r="F106">
        <f t="shared" si="10"/>
        <v>455</v>
      </c>
      <c r="G106">
        <f t="shared" si="11"/>
        <v>455</v>
      </c>
      <c r="H106">
        <f t="shared" si="12"/>
        <v>378</v>
      </c>
      <c r="I106">
        <f t="shared" si="13"/>
        <v>1288</v>
      </c>
    </row>
    <row r="107" spans="1:9" x14ac:dyDescent="0.25">
      <c r="A107" s="1">
        <v>44818</v>
      </c>
      <c r="B107">
        <f t="shared" si="20"/>
        <v>17</v>
      </c>
      <c r="C107">
        <f t="shared" si="15"/>
        <v>91</v>
      </c>
      <c r="D107">
        <f t="shared" si="16"/>
        <v>65</v>
      </c>
      <c r="E107">
        <f t="shared" si="17"/>
        <v>63</v>
      </c>
      <c r="F107">
        <f t="shared" si="10"/>
        <v>455</v>
      </c>
      <c r="G107">
        <f t="shared" si="11"/>
        <v>455</v>
      </c>
      <c r="H107">
        <f t="shared" si="12"/>
        <v>378</v>
      </c>
      <c r="I107">
        <f t="shared" si="13"/>
        <v>1288</v>
      </c>
    </row>
    <row r="108" spans="1:9" x14ac:dyDescent="0.25">
      <c r="A108" s="1">
        <v>44819</v>
      </c>
      <c r="B108">
        <f t="shared" si="20"/>
        <v>16</v>
      </c>
      <c r="C108">
        <f t="shared" si="15"/>
        <v>86</v>
      </c>
      <c r="D108">
        <f t="shared" si="16"/>
        <v>62</v>
      </c>
      <c r="E108">
        <f t="shared" si="17"/>
        <v>61</v>
      </c>
      <c r="F108">
        <f t="shared" si="10"/>
        <v>430</v>
      </c>
      <c r="G108">
        <f t="shared" si="11"/>
        <v>434</v>
      </c>
      <c r="H108">
        <f t="shared" si="12"/>
        <v>366</v>
      </c>
      <c r="I108">
        <f t="shared" si="13"/>
        <v>1230</v>
      </c>
    </row>
    <row r="109" spans="1:9" x14ac:dyDescent="0.25">
      <c r="A109" s="1">
        <v>44820</v>
      </c>
      <c r="B109">
        <f t="shared" si="20"/>
        <v>16</v>
      </c>
      <c r="C109">
        <f t="shared" si="15"/>
        <v>86</v>
      </c>
      <c r="D109">
        <f t="shared" si="16"/>
        <v>62</v>
      </c>
      <c r="E109">
        <f t="shared" si="17"/>
        <v>61</v>
      </c>
      <c r="F109">
        <f t="shared" si="10"/>
        <v>430</v>
      </c>
      <c r="G109">
        <f t="shared" si="11"/>
        <v>434</v>
      </c>
      <c r="H109">
        <f t="shared" si="12"/>
        <v>366</v>
      </c>
      <c r="I109">
        <f t="shared" si="13"/>
        <v>1230</v>
      </c>
    </row>
    <row r="110" spans="1:9" x14ac:dyDescent="0.25">
      <c r="A110" s="1">
        <v>44821</v>
      </c>
      <c r="B110">
        <f t="shared" si="20"/>
        <v>15</v>
      </c>
      <c r="C110">
        <f t="shared" si="15"/>
        <v>82</v>
      </c>
      <c r="D110">
        <f t="shared" si="16"/>
        <v>58</v>
      </c>
      <c r="E110">
        <f t="shared" si="17"/>
        <v>58</v>
      </c>
      <c r="F110">
        <f t="shared" si="10"/>
        <v>410</v>
      </c>
      <c r="G110">
        <f t="shared" si="11"/>
        <v>406</v>
      </c>
      <c r="H110">
        <f t="shared" si="12"/>
        <v>348</v>
      </c>
      <c r="I110">
        <f t="shared" si="13"/>
        <v>1164</v>
      </c>
    </row>
    <row r="111" spans="1:9" x14ac:dyDescent="0.25">
      <c r="A111" s="1">
        <v>44822</v>
      </c>
      <c r="B111">
        <f t="shared" si="20"/>
        <v>15</v>
      </c>
      <c r="C111">
        <f t="shared" si="15"/>
        <v>82</v>
      </c>
      <c r="D111">
        <f t="shared" si="16"/>
        <v>58</v>
      </c>
      <c r="E111">
        <f t="shared" si="17"/>
        <v>58</v>
      </c>
      <c r="F111">
        <f t="shared" si="10"/>
        <v>410</v>
      </c>
      <c r="G111">
        <f t="shared" si="11"/>
        <v>406</v>
      </c>
      <c r="H111">
        <f t="shared" si="12"/>
        <v>348</v>
      </c>
      <c r="I111">
        <f t="shared" si="13"/>
        <v>1164</v>
      </c>
    </row>
    <row r="112" spans="1:9" x14ac:dyDescent="0.25">
      <c r="A112" s="1">
        <v>44823</v>
      </c>
      <c r="B112">
        <f t="shared" si="20"/>
        <v>14</v>
      </c>
      <c r="C112">
        <f t="shared" si="15"/>
        <v>78</v>
      </c>
      <c r="D112">
        <f t="shared" si="16"/>
        <v>55</v>
      </c>
      <c r="E112">
        <f t="shared" si="17"/>
        <v>56</v>
      </c>
      <c r="F112">
        <f t="shared" si="10"/>
        <v>390</v>
      </c>
      <c r="G112">
        <f t="shared" si="11"/>
        <v>385</v>
      </c>
      <c r="H112">
        <f t="shared" si="12"/>
        <v>336</v>
      </c>
      <c r="I112">
        <f t="shared" si="13"/>
        <v>1111</v>
      </c>
    </row>
    <row r="113" spans="1:9" x14ac:dyDescent="0.25">
      <c r="A113" s="1">
        <v>44824</v>
      </c>
      <c r="B113">
        <f t="shared" si="20"/>
        <v>14</v>
      </c>
      <c r="C113">
        <f t="shared" si="15"/>
        <v>78</v>
      </c>
      <c r="D113">
        <f t="shared" si="16"/>
        <v>55</v>
      </c>
      <c r="E113">
        <f t="shared" si="17"/>
        <v>56</v>
      </c>
      <c r="F113">
        <f t="shared" si="10"/>
        <v>390</v>
      </c>
      <c r="G113">
        <f t="shared" si="11"/>
        <v>385</v>
      </c>
      <c r="H113">
        <f t="shared" si="12"/>
        <v>336</v>
      </c>
      <c r="I113">
        <f t="shared" si="13"/>
        <v>1111</v>
      </c>
    </row>
    <row r="114" spans="1:9" x14ac:dyDescent="0.25">
      <c r="A114" s="1">
        <v>44825</v>
      </c>
      <c r="B114">
        <f t="shared" si="20"/>
        <v>13</v>
      </c>
      <c r="C114">
        <f t="shared" si="15"/>
        <v>74</v>
      </c>
      <c r="D114">
        <f t="shared" si="16"/>
        <v>51</v>
      </c>
      <c r="E114">
        <f t="shared" si="17"/>
        <v>54</v>
      </c>
      <c r="F114">
        <f t="shared" si="10"/>
        <v>370</v>
      </c>
      <c r="G114">
        <f t="shared" si="11"/>
        <v>357</v>
      </c>
      <c r="H114">
        <f t="shared" si="12"/>
        <v>324</v>
      </c>
      <c r="I114">
        <f t="shared" si="13"/>
        <v>1051</v>
      </c>
    </row>
    <row r="115" spans="1:9" x14ac:dyDescent="0.25">
      <c r="A115" s="1">
        <v>44826</v>
      </c>
      <c r="B115">
        <f t="shared" si="20"/>
        <v>13</v>
      </c>
      <c r="C115">
        <f t="shared" si="15"/>
        <v>74</v>
      </c>
      <c r="D115">
        <f t="shared" si="16"/>
        <v>51</v>
      </c>
      <c r="E115">
        <f t="shared" si="17"/>
        <v>54</v>
      </c>
      <c r="F115">
        <f t="shared" si="10"/>
        <v>370</v>
      </c>
      <c r="G115">
        <f t="shared" si="11"/>
        <v>357</v>
      </c>
      <c r="H115">
        <f t="shared" si="12"/>
        <v>324</v>
      </c>
      <c r="I115">
        <f t="shared" si="13"/>
        <v>1051</v>
      </c>
    </row>
    <row r="116" spans="1:9" x14ac:dyDescent="0.25">
      <c r="A116" s="2">
        <v>44827</v>
      </c>
      <c r="B116" s="3">
        <f t="shared" si="20"/>
        <v>12</v>
      </c>
      <c r="C116" s="3">
        <f t="shared" si="15"/>
        <v>70</v>
      </c>
      <c r="D116" s="3">
        <f t="shared" si="16"/>
        <v>48</v>
      </c>
      <c r="E116" s="3">
        <f t="shared" si="17"/>
        <v>51</v>
      </c>
      <c r="F116" s="3">
        <f t="shared" si="10"/>
        <v>350</v>
      </c>
      <c r="G116" s="3">
        <f t="shared" si="11"/>
        <v>336</v>
      </c>
      <c r="H116" s="3">
        <f t="shared" si="12"/>
        <v>306</v>
      </c>
      <c r="I116" s="3">
        <f t="shared" si="13"/>
        <v>992</v>
      </c>
    </row>
    <row r="117" spans="1:9" x14ac:dyDescent="0.25">
      <c r="A117" s="1">
        <v>44828</v>
      </c>
      <c r="B117">
        <f t="shared" si="20"/>
        <v>12</v>
      </c>
      <c r="C117">
        <f t="shared" si="15"/>
        <v>70</v>
      </c>
      <c r="D117">
        <f t="shared" si="16"/>
        <v>48</v>
      </c>
      <c r="E117">
        <f t="shared" si="17"/>
        <v>51</v>
      </c>
      <c r="F117">
        <f t="shared" si="10"/>
        <v>350</v>
      </c>
      <c r="G117">
        <f t="shared" si="11"/>
        <v>336</v>
      </c>
      <c r="H117">
        <f t="shared" si="12"/>
        <v>306</v>
      </c>
      <c r="I117">
        <f t="shared" si="13"/>
        <v>992</v>
      </c>
    </row>
    <row r="118" spans="1:9" x14ac:dyDescent="0.25">
      <c r="A118" s="1">
        <v>44829</v>
      </c>
      <c r="B118">
        <f t="shared" si="20"/>
        <v>11</v>
      </c>
      <c r="C118">
        <f t="shared" si="15"/>
        <v>66</v>
      </c>
      <c r="D118">
        <f t="shared" si="16"/>
        <v>45</v>
      </c>
      <c r="E118">
        <f t="shared" si="17"/>
        <v>49</v>
      </c>
      <c r="F118">
        <f t="shared" si="10"/>
        <v>330</v>
      </c>
      <c r="G118">
        <f t="shared" si="11"/>
        <v>315</v>
      </c>
      <c r="H118">
        <f t="shared" si="12"/>
        <v>294</v>
      </c>
      <c r="I118">
        <f t="shared" si="13"/>
        <v>939</v>
      </c>
    </row>
    <row r="119" spans="1:9" x14ac:dyDescent="0.25">
      <c r="A119" s="1">
        <v>44830</v>
      </c>
      <c r="B119">
        <f t="shared" si="20"/>
        <v>11</v>
      </c>
      <c r="C119">
        <f t="shared" si="15"/>
        <v>66</v>
      </c>
      <c r="D119">
        <f t="shared" si="16"/>
        <v>45</v>
      </c>
      <c r="E119">
        <f t="shared" si="17"/>
        <v>49</v>
      </c>
      <c r="F119">
        <f t="shared" si="10"/>
        <v>330</v>
      </c>
      <c r="G119">
        <f t="shared" si="11"/>
        <v>315</v>
      </c>
      <c r="H119">
        <f t="shared" si="12"/>
        <v>294</v>
      </c>
      <c r="I119">
        <f t="shared" si="13"/>
        <v>939</v>
      </c>
    </row>
    <row r="120" spans="1:9" x14ac:dyDescent="0.25">
      <c r="A120" s="1">
        <v>44831</v>
      </c>
      <c r="B120">
        <f t="shared" si="20"/>
        <v>10</v>
      </c>
      <c r="C120">
        <f t="shared" si="15"/>
        <v>62</v>
      </c>
      <c r="D120">
        <f t="shared" si="16"/>
        <v>41</v>
      </c>
      <c r="E120">
        <f t="shared" si="17"/>
        <v>47</v>
      </c>
      <c r="F120">
        <f t="shared" si="10"/>
        <v>310</v>
      </c>
      <c r="G120">
        <f t="shared" si="11"/>
        <v>287</v>
      </c>
      <c r="H120">
        <f t="shared" si="12"/>
        <v>282</v>
      </c>
      <c r="I120">
        <f t="shared" si="13"/>
        <v>879</v>
      </c>
    </row>
    <row r="121" spans="1:9" x14ac:dyDescent="0.25">
      <c r="A121" s="1">
        <v>44832</v>
      </c>
      <c r="B121">
        <f t="shared" si="20"/>
        <v>10</v>
      </c>
      <c r="C121">
        <f t="shared" si="15"/>
        <v>62</v>
      </c>
      <c r="D121">
        <f t="shared" si="16"/>
        <v>41</v>
      </c>
      <c r="E121">
        <f t="shared" si="17"/>
        <v>47</v>
      </c>
      <c r="F121">
        <f t="shared" si="10"/>
        <v>310</v>
      </c>
      <c r="G121">
        <f t="shared" si="11"/>
        <v>287</v>
      </c>
      <c r="H121">
        <f t="shared" si="12"/>
        <v>282</v>
      </c>
      <c r="I121">
        <f t="shared" si="13"/>
        <v>879</v>
      </c>
    </row>
    <row r="122" spans="1:9" x14ac:dyDescent="0.25">
      <c r="A122" s="1">
        <v>44833</v>
      </c>
      <c r="B122">
        <f t="shared" si="20"/>
        <v>9</v>
      </c>
      <c r="C122">
        <f t="shared" si="15"/>
        <v>57</v>
      </c>
      <c r="D122">
        <f t="shared" si="16"/>
        <v>38</v>
      </c>
      <c r="E122">
        <f t="shared" si="17"/>
        <v>44</v>
      </c>
      <c r="F122">
        <f t="shared" si="10"/>
        <v>285</v>
      </c>
      <c r="G122">
        <f t="shared" si="11"/>
        <v>266</v>
      </c>
      <c r="H122">
        <f t="shared" si="12"/>
        <v>264</v>
      </c>
      <c r="I122">
        <f t="shared" si="13"/>
        <v>815</v>
      </c>
    </row>
    <row r="123" spans="1:9" x14ac:dyDescent="0.25">
      <c r="A123" s="1">
        <v>44834</v>
      </c>
      <c r="B123">
        <f t="shared" si="20"/>
        <v>9</v>
      </c>
      <c r="C123">
        <f t="shared" si="15"/>
        <v>57</v>
      </c>
      <c r="D123">
        <f t="shared" si="16"/>
        <v>38</v>
      </c>
      <c r="E123">
        <f t="shared" si="17"/>
        <v>44</v>
      </c>
      <c r="F123">
        <f t="shared" si="10"/>
        <v>285</v>
      </c>
      <c r="G123">
        <f t="shared" si="11"/>
        <v>266</v>
      </c>
      <c r="H123">
        <f t="shared" si="12"/>
        <v>264</v>
      </c>
      <c r="I123">
        <f t="shared" si="13"/>
        <v>815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2</vt:i4>
      </vt:variant>
    </vt:vector>
  </HeadingPairs>
  <TitlesOfParts>
    <vt:vector size="5" baseType="lpstr">
      <vt:lpstr>5.4 b</vt:lpstr>
      <vt:lpstr>zad 5.2</vt:lpstr>
      <vt:lpstr>5.1, 5.3, 5.4 a</vt:lpstr>
      <vt:lpstr>'5.1, 5.3, 5.4 a'!temperatury</vt:lpstr>
      <vt:lpstr>'5.4 b'!temperatury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szefitek</dc:creator>
  <cp:lastModifiedBy>szefitek</cp:lastModifiedBy>
  <dcterms:created xsi:type="dcterms:W3CDTF">2026-05-08T13:13:43Z</dcterms:created>
  <dcterms:modified xsi:type="dcterms:W3CDTF">2026-05-08T13:59:09Z</dcterms:modified>
</cp:coreProperties>
</file>