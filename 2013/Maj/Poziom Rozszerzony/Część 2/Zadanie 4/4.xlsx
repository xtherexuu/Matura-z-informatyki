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efitek\Documents\matura2013\Maj\Poziom rozszerzony\"/>
    </mc:Choice>
  </mc:AlternateContent>
  <xr:revisionPtr revIDLastSave="0" documentId="13_ncr:1_{B348AC13-239E-4BA8-BECE-53E787848626}" xr6:coauthVersionLast="47" xr6:coauthVersionMax="47" xr10:uidLastSave="{00000000-0000-0000-0000-000000000000}"/>
  <bookViews>
    <workbookView xWindow="-120" yWindow="-120" windowWidth="14610" windowHeight="14040" xr2:uid="{2A5C02F5-4B65-42F9-B1D3-B5AF6CDACA27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8" i="1"/>
  <c r="J36" i="1"/>
  <c r="J54" i="1"/>
  <c r="J72" i="1"/>
  <c r="I5" i="1"/>
  <c r="I24" i="1"/>
  <c r="I47" i="1"/>
  <c r="I66" i="1"/>
  <c r="G2" i="1"/>
  <c r="H2" i="1" s="1"/>
  <c r="C3" i="1"/>
  <c r="C4" i="1"/>
  <c r="J4" i="1" s="1"/>
  <c r="C5" i="1"/>
  <c r="J5" i="1" s="1"/>
  <c r="C6" i="1"/>
  <c r="I6" i="1" s="1"/>
  <c r="C7" i="1"/>
  <c r="J7" i="1" s="1"/>
  <c r="C8" i="1"/>
  <c r="C9" i="1"/>
  <c r="C10" i="1"/>
  <c r="I10" i="1" s="1"/>
  <c r="C11" i="1"/>
  <c r="J11" i="1" s="1"/>
  <c r="C12" i="1"/>
  <c r="I12" i="1" s="1"/>
  <c r="C13" i="1"/>
  <c r="J13" i="1" s="1"/>
  <c r="C14" i="1"/>
  <c r="C15" i="1"/>
  <c r="C16" i="1"/>
  <c r="J16" i="1" s="1"/>
  <c r="C17" i="1"/>
  <c r="I17" i="1" s="1"/>
  <c r="C18" i="1"/>
  <c r="I18" i="1" s="1"/>
  <c r="C19" i="1"/>
  <c r="J19" i="1" s="1"/>
  <c r="C20" i="1"/>
  <c r="C21" i="1"/>
  <c r="C22" i="1"/>
  <c r="J22" i="1" s="1"/>
  <c r="C23" i="1"/>
  <c r="J23" i="1" s="1"/>
  <c r="C24" i="1"/>
  <c r="J24" i="1" s="1"/>
  <c r="C25" i="1"/>
  <c r="J25" i="1" s="1"/>
  <c r="C26" i="1"/>
  <c r="C27" i="1"/>
  <c r="C28" i="1"/>
  <c r="J28" i="1" s="1"/>
  <c r="C29" i="1"/>
  <c r="I29" i="1" s="1"/>
  <c r="C30" i="1"/>
  <c r="I30" i="1" s="1"/>
  <c r="C31" i="1"/>
  <c r="J31" i="1" s="1"/>
  <c r="C32" i="1"/>
  <c r="C33" i="1"/>
  <c r="C34" i="1"/>
  <c r="J34" i="1" s="1"/>
  <c r="C35" i="1"/>
  <c r="I35" i="1" s="1"/>
  <c r="C36" i="1"/>
  <c r="I36" i="1" s="1"/>
  <c r="C37" i="1"/>
  <c r="J37" i="1" s="1"/>
  <c r="C38" i="1"/>
  <c r="C39" i="1"/>
  <c r="C40" i="1"/>
  <c r="J40" i="1" s="1"/>
  <c r="C41" i="1"/>
  <c r="J41" i="1" s="1"/>
  <c r="C42" i="1"/>
  <c r="J42" i="1" s="1"/>
  <c r="C43" i="1"/>
  <c r="J43" i="1" s="1"/>
  <c r="C44" i="1"/>
  <c r="C45" i="1"/>
  <c r="C46" i="1"/>
  <c r="J46" i="1" s="1"/>
  <c r="C47" i="1"/>
  <c r="J47" i="1" s="1"/>
  <c r="C48" i="1"/>
  <c r="I48" i="1" s="1"/>
  <c r="C49" i="1"/>
  <c r="J49" i="1" s="1"/>
  <c r="C50" i="1"/>
  <c r="C51" i="1"/>
  <c r="C52" i="1"/>
  <c r="J52" i="1" s="1"/>
  <c r="C53" i="1"/>
  <c r="I53" i="1" s="1"/>
  <c r="C54" i="1"/>
  <c r="I54" i="1" s="1"/>
  <c r="C55" i="1"/>
  <c r="J55" i="1" s="1"/>
  <c r="C56" i="1"/>
  <c r="C57" i="1"/>
  <c r="C58" i="1"/>
  <c r="J58" i="1" s="1"/>
  <c r="C59" i="1"/>
  <c r="J59" i="1" s="1"/>
  <c r="C60" i="1"/>
  <c r="I60" i="1" s="1"/>
  <c r="C61" i="1"/>
  <c r="J61" i="1" s="1"/>
  <c r="C62" i="1"/>
  <c r="C63" i="1"/>
  <c r="C64" i="1"/>
  <c r="J64" i="1" s="1"/>
  <c r="C65" i="1"/>
  <c r="J65" i="1" s="1"/>
  <c r="C66" i="1"/>
  <c r="J66" i="1" s="1"/>
  <c r="C67" i="1"/>
  <c r="J67" i="1" s="1"/>
  <c r="C68" i="1"/>
  <c r="C69" i="1"/>
  <c r="C70" i="1"/>
  <c r="J70" i="1" s="1"/>
  <c r="C71" i="1"/>
  <c r="I71" i="1" s="1"/>
  <c r="C72" i="1"/>
  <c r="I72" i="1" s="1"/>
  <c r="C73" i="1"/>
  <c r="J73" i="1" s="1"/>
  <c r="C74" i="1"/>
  <c r="C75" i="1"/>
  <c r="C76" i="1"/>
  <c r="J76" i="1" s="1"/>
  <c r="C77" i="1"/>
  <c r="J77" i="1" s="1"/>
  <c r="C78" i="1"/>
  <c r="J78" i="1" s="1"/>
  <c r="C79" i="1"/>
  <c r="J79" i="1" s="1"/>
  <c r="C80" i="1"/>
  <c r="C81" i="1"/>
  <c r="C82" i="1"/>
  <c r="I82" i="1" s="1"/>
  <c r="C83" i="1"/>
  <c r="J83" i="1" s="1"/>
  <c r="C84" i="1"/>
  <c r="J84" i="1" s="1"/>
  <c r="C85" i="1"/>
  <c r="J85" i="1" s="1"/>
  <c r="C86" i="1"/>
  <c r="C87" i="1"/>
  <c r="C88" i="1"/>
  <c r="J88" i="1" s="1"/>
  <c r="C89" i="1"/>
  <c r="I89" i="1" s="1"/>
  <c r="C90" i="1"/>
  <c r="I90" i="1" s="1"/>
  <c r="C91" i="1"/>
  <c r="J91" i="1" s="1"/>
  <c r="C2" i="1"/>
  <c r="F10" i="1"/>
  <c r="F8" i="1"/>
  <c r="I85" i="1" l="1"/>
  <c r="I84" i="1"/>
  <c r="I65" i="1"/>
  <c r="I42" i="1"/>
  <c r="I23" i="1"/>
  <c r="J90" i="1"/>
  <c r="J71" i="1"/>
  <c r="J53" i="1"/>
  <c r="J35" i="1"/>
  <c r="J17" i="1"/>
  <c r="I83" i="1"/>
  <c r="I41" i="1"/>
  <c r="J30" i="1"/>
  <c r="I78" i="1"/>
  <c r="I31" i="1"/>
  <c r="J29" i="1"/>
  <c r="I77" i="1"/>
  <c r="I49" i="1"/>
  <c r="I11" i="1"/>
  <c r="J60" i="1"/>
  <c r="J6" i="1"/>
  <c r="I13" i="1"/>
  <c r="J48" i="1"/>
  <c r="I59" i="1"/>
  <c r="I67" i="1"/>
  <c r="I16" i="1"/>
  <c r="I70" i="1"/>
  <c r="I52" i="1"/>
  <c r="I40" i="1"/>
  <c r="I22" i="1"/>
  <c r="I4" i="1"/>
  <c r="I91" i="1"/>
  <c r="I73" i="1"/>
  <c r="I55" i="1"/>
  <c r="I37" i="1"/>
  <c r="I19" i="1"/>
  <c r="I46" i="1"/>
  <c r="J89" i="1"/>
  <c r="I88" i="1"/>
  <c r="I34" i="1"/>
  <c r="I76" i="1"/>
  <c r="I58" i="1"/>
  <c r="J82" i="1"/>
  <c r="J10" i="1"/>
  <c r="I64" i="1"/>
  <c r="I28" i="1"/>
  <c r="I79" i="1"/>
  <c r="I61" i="1"/>
  <c r="I43" i="1"/>
  <c r="I25" i="1"/>
  <c r="I7" i="1"/>
  <c r="J87" i="1"/>
  <c r="I87" i="1"/>
  <c r="I81" i="1"/>
  <c r="J81" i="1"/>
  <c r="J75" i="1"/>
  <c r="I75" i="1"/>
  <c r="I69" i="1"/>
  <c r="J69" i="1"/>
  <c r="J63" i="1"/>
  <c r="I63" i="1"/>
  <c r="I57" i="1"/>
  <c r="J57" i="1"/>
  <c r="J51" i="1"/>
  <c r="I51" i="1"/>
  <c r="J45" i="1"/>
  <c r="I45" i="1"/>
  <c r="I39" i="1"/>
  <c r="J39" i="1"/>
  <c r="J33" i="1"/>
  <c r="I33" i="1"/>
  <c r="J27" i="1"/>
  <c r="I27" i="1"/>
  <c r="J21" i="1"/>
  <c r="I21" i="1"/>
  <c r="J15" i="1"/>
  <c r="I15" i="1"/>
  <c r="I9" i="1"/>
  <c r="J9" i="1"/>
  <c r="J3" i="1"/>
  <c r="I3" i="1"/>
  <c r="J2" i="1"/>
  <c r="I2" i="1"/>
  <c r="E3" i="1"/>
  <c r="G3" i="1" s="1"/>
  <c r="E4" i="1" s="1"/>
  <c r="G4" i="1" s="1"/>
  <c r="D3" i="1"/>
  <c r="I86" i="1"/>
  <c r="J86" i="1"/>
  <c r="I80" i="1"/>
  <c r="J80" i="1"/>
  <c r="I74" i="1"/>
  <c r="J74" i="1"/>
  <c r="I68" i="1"/>
  <c r="J68" i="1"/>
  <c r="I62" i="1"/>
  <c r="J62" i="1"/>
  <c r="I56" i="1"/>
  <c r="J56" i="1"/>
  <c r="I50" i="1"/>
  <c r="J50" i="1"/>
  <c r="I44" i="1"/>
  <c r="J44" i="1"/>
  <c r="I38" i="1"/>
  <c r="J38" i="1"/>
  <c r="I32" i="1"/>
  <c r="J32" i="1"/>
  <c r="I26" i="1"/>
  <c r="J26" i="1"/>
  <c r="I20" i="1"/>
  <c r="J20" i="1"/>
  <c r="I14" i="1"/>
  <c r="J14" i="1"/>
  <c r="I8" i="1"/>
  <c r="J8" i="1"/>
  <c r="K2" i="1" l="1"/>
  <c r="L2" i="1"/>
  <c r="E5" i="1"/>
  <c r="G5" i="1" s="1"/>
  <c r="H4" i="1"/>
  <c r="D4" i="1"/>
  <c r="D5" i="1" s="1"/>
  <c r="H3" i="1"/>
  <c r="H5" i="1" l="1"/>
  <c r="E6" i="1"/>
  <c r="G6" i="1" s="1"/>
  <c r="D6" i="1"/>
  <c r="D7" i="1" l="1"/>
  <c r="H6" i="1"/>
  <c r="E7" i="1"/>
  <c r="G7" i="1" s="1"/>
  <c r="H7" i="1" l="1"/>
  <c r="E8" i="1"/>
  <c r="G8" i="1" s="1"/>
  <c r="D8" i="1"/>
  <c r="D9" i="1" l="1"/>
  <c r="H8" i="1"/>
  <c r="E9" i="1"/>
  <c r="G9" i="1" s="1"/>
  <c r="E10" i="1" l="1"/>
  <c r="G10" i="1" s="1"/>
  <c r="H9" i="1"/>
  <c r="D10" i="1"/>
  <c r="D11" i="1" s="1"/>
  <c r="E11" i="1" l="1"/>
  <c r="G11" i="1" s="1"/>
  <c r="H10" i="1"/>
  <c r="E12" i="1" l="1"/>
  <c r="G12" i="1" s="1"/>
  <c r="H11" i="1"/>
  <c r="D12" i="1"/>
  <c r="D13" i="1" l="1"/>
  <c r="E13" i="1"/>
  <c r="G13" i="1" s="1"/>
  <c r="D14" i="1" s="1"/>
  <c r="H12" i="1"/>
  <c r="E14" i="1" l="1"/>
  <c r="G14" i="1" s="1"/>
  <c r="H13" i="1"/>
  <c r="E15" i="1" l="1"/>
  <c r="G15" i="1" s="1"/>
  <c r="H14" i="1"/>
  <c r="D15" i="1"/>
  <c r="D16" i="1" s="1"/>
  <c r="E16" i="1" l="1"/>
  <c r="G16" i="1" s="1"/>
  <c r="H15" i="1"/>
  <c r="E17" i="1" l="1"/>
  <c r="G17" i="1" s="1"/>
  <c r="H16" i="1"/>
  <c r="D17" i="1"/>
  <c r="D18" i="1" l="1"/>
  <c r="E18" i="1"/>
  <c r="G18" i="1" s="1"/>
  <c r="H17" i="1"/>
  <c r="E19" i="1" l="1"/>
  <c r="G19" i="1" s="1"/>
  <c r="H18" i="1"/>
  <c r="D19" i="1"/>
  <c r="D20" i="1" l="1"/>
  <c r="E20" i="1"/>
  <c r="G20" i="1" s="1"/>
  <c r="H19" i="1"/>
  <c r="E21" i="1" l="1"/>
  <c r="G21" i="1" s="1"/>
  <c r="H20" i="1"/>
  <c r="D21" i="1"/>
  <c r="D22" i="1" s="1"/>
  <c r="E22" i="1" l="1"/>
  <c r="G22" i="1" s="1"/>
  <c r="H21" i="1"/>
  <c r="E23" i="1" l="1"/>
  <c r="G23" i="1" s="1"/>
  <c r="H22" i="1"/>
  <c r="D23" i="1"/>
  <c r="D24" i="1" l="1"/>
  <c r="E24" i="1"/>
  <c r="G24" i="1" s="1"/>
  <c r="H23" i="1"/>
  <c r="E25" i="1" l="1"/>
  <c r="G25" i="1" s="1"/>
  <c r="H24" i="1"/>
  <c r="D25" i="1"/>
  <c r="D26" i="1" l="1"/>
  <c r="E26" i="1"/>
  <c r="G26" i="1" s="1"/>
  <c r="H25" i="1"/>
  <c r="E27" i="1" l="1"/>
  <c r="G27" i="1" s="1"/>
  <c r="H26" i="1"/>
  <c r="D27" i="1"/>
  <c r="D28" i="1" l="1"/>
  <c r="E28" i="1"/>
  <c r="G28" i="1" s="1"/>
  <c r="H27" i="1"/>
  <c r="E29" i="1" l="1"/>
  <c r="G29" i="1" s="1"/>
  <c r="H28" i="1"/>
  <c r="D29" i="1"/>
  <c r="D30" i="1" l="1"/>
  <c r="E30" i="1"/>
  <c r="G30" i="1" s="1"/>
  <c r="H29" i="1"/>
  <c r="E31" i="1" l="1"/>
  <c r="G31" i="1" s="1"/>
  <c r="H30" i="1"/>
  <c r="D31" i="1"/>
  <c r="D32" i="1" l="1"/>
  <c r="E32" i="1"/>
  <c r="G32" i="1" s="1"/>
  <c r="H31" i="1"/>
  <c r="E33" i="1" l="1"/>
  <c r="G33" i="1" s="1"/>
  <c r="H32" i="1"/>
  <c r="D33" i="1"/>
  <c r="D34" i="1" l="1"/>
  <c r="E34" i="1"/>
  <c r="G34" i="1" s="1"/>
  <c r="H33" i="1"/>
  <c r="E35" i="1" l="1"/>
  <c r="G35" i="1" s="1"/>
  <c r="H34" i="1"/>
  <c r="D35" i="1"/>
  <c r="D36" i="1" l="1"/>
  <c r="E36" i="1"/>
  <c r="G36" i="1" s="1"/>
  <c r="H35" i="1"/>
  <c r="E37" i="1" l="1"/>
  <c r="G37" i="1" s="1"/>
  <c r="H36" i="1"/>
  <c r="D37" i="1"/>
  <c r="D38" i="1" l="1"/>
  <c r="E38" i="1"/>
  <c r="G38" i="1" s="1"/>
  <c r="H37" i="1"/>
  <c r="E39" i="1" l="1"/>
  <c r="G39" i="1" s="1"/>
  <c r="H38" i="1"/>
  <c r="D39" i="1"/>
  <c r="D40" i="1" s="1"/>
  <c r="E40" i="1" l="1"/>
  <c r="G40" i="1" s="1"/>
  <c r="H39" i="1"/>
  <c r="E41" i="1" l="1"/>
  <c r="G41" i="1" s="1"/>
  <c r="H40" i="1"/>
  <c r="D41" i="1"/>
  <c r="D42" i="1" l="1"/>
  <c r="E42" i="1"/>
  <c r="G42" i="1" s="1"/>
  <c r="H41" i="1"/>
  <c r="E43" i="1" l="1"/>
  <c r="G43" i="1" s="1"/>
  <c r="H42" i="1"/>
  <c r="D43" i="1"/>
  <c r="D44" i="1" l="1"/>
  <c r="E44" i="1"/>
  <c r="G44" i="1" s="1"/>
  <c r="H43" i="1"/>
  <c r="E45" i="1" l="1"/>
  <c r="G45" i="1" s="1"/>
  <c r="H44" i="1"/>
  <c r="D45" i="1"/>
  <c r="D46" i="1" l="1"/>
  <c r="E46" i="1"/>
  <c r="G46" i="1" s="1"/>
  <c r="H45" i="1"/>
  <c r="E47" i="1" l="1"/>
  <c r="G47" i="1" s="1"/>
  <c r="H46" i="1"/>
  <c r="D47" i="1"/>
  <c r="D48" i="1" l="1"/>
  <c r="E48" i="1"/>
  <c r="G48" i="1" s="1"/>
  <c r="H47" i="1"/>
  <c r="E49" i="1" l="1"/>
  <c r="G49" i="1" s="1"/>
  <c r="H48" i="1"/>
  <c r="D49" i="1"/>
  <c r="D50" i="1" l="1"/>
  <c r="E50" i="1"/>
  <c r="G50" i="1" s="1"/>
  <c r="H49" i="1"/>
  <c r="E51" i="1" l="1"/>
  <c r="G51" i="1" s="1"/>
  <c r="H50" i="1"/>
  <c r="D51" i="1"/>
  <c r="D52" i="1" l="1"/>
  <c r="E52" i="1"/>
  <c r="G52" i="1" s="1"/>
  <c r="H51" i="1"/>
  <c r="E53" i="1" l="1"/>
  <c r="G53" i="1" s="1"/>
  <c r="H52" i="1"/>
  <c r="D53" i="1"/>
  <c r="D54" i="1" l="1"/>
  <c r="E54" i="1"/>
  <c r="G54" i="1" s="1"/>
  <c r="H53" i="1"/>
  <c r="E55" i="1" l="1"/>
  <c r="G55" i="1" s="1"/>
  <c r="H54" i="1"/>
  <c r="D55" i="1"/>
  <c r="D56" i="1" s="1"/>
  <c r="E56" i="1" l="1"/>
  <c r="G56" i="1" s="1"/>
  <c r="H55" i="1"/>
  <c r="E57" i="1" l="1"/>
  <c r="G57" i="1" s="1"/>
  <c r="H56" i="1"/>
  <c r="D57" i="1"/>
  <c r="D58" i="1" s="1"/>
  <c r="E58" i="1" l="1"/>
  <c r="G58" i="1" s="1"/>
  <c r="H57" i="1"/>
  <c r="E59" i="1" l="1"/>
  <c r="G59" i="1" s="1"/>
  <c r="H58" i="1"/>
  <c r="D59" i="1"/>
  <c r="D60" i="1" l="1"/>
  <c r="E60" i="1"/>
  <c r="G60" i="1" s="1"/>
  <c r="H59" i="1"/>
  <c r="E61" i="1" l="1"/>
  <c r="G61" i="1" s="1"/>
  <c r="H60" i="1"/>
  <c r="D61" i="1"/>
  <c r="D62" i="1" l="1"/>
  <c r="E62" i="1"/>
  <c r="G62" i="1" s="1"/>
  <c r="H61" i="1"/>
  <c r="E63" i="1" l="1"/>
  <c r="G63" i="1" s="1"/>
  <c r="H62" i="1"/>
  <c r="D63" i="1"/>
  <c r="D64" i="1" l="1"/>
  <c r="E64" i="1"/>
  <c r="G64" i="1" s="1"/>
  <c r="H63" i="1"/>
  <c r="E65" i="1" l="1"/>
  <c r="G65" i="1" s="1"/>
  <c r="H64" i="1"/>
  <c r="D65" i="1"/>
  <c r="D66" i="1" l="1"/>
  <c r="E66" i="1"/>
  <c r="G66" i="1" s="1"/>
  <c r="H65" i="1"/>
  <c r="E67" i="1" l="1"/>
  <c r="G67" i="1" s="1"/>
  <c r="H66" i="1"/>
  <c r="D67" i="1"/>
  <c r="D68" i="1" s="1"/>
  <c r="E68" i="1" l="1"/>
  <c r="G68" i="1" s="1"/>
  <c r="H67" i="1"/>
  <c r="E69" i="1" l="1"/>
  <c r="G69" i="1" s="1"/>
  <c r="H68" i="1"/>
  <c r="D69" i="1"/>
  <c r="D70" i="1" l="1"/>
  <c r="E70" i="1"/>
  <c r="G70" i="1" s="1"/>
  <c r="H69" i="1"/>
  <c r="E71" i="1" l="1"/>
  <c r="G71" i="1" s="1"/>
  <c r="H70" i="1"/>
  <c r="D71" i="1"/>
  <c r="D72" i="1" l="1"/>
  <c r="E72" i="1"/>
  <c r="G72" i="1" s="1"/>
  <c r="H71" i="1"/>
  <c r="E73" i="1" l="1"/>
  <c r="G73" i="1" s="1"/>
  <c r="H72" i="1"/>
  <c r="D73" i="1"/>
  <c r="D74" i="1" s="1"/>
  <c r="E74" i="1" l="1"/>
  <c r="G74" i="1" s="1"/>
  <c r="H73" i="1"/>
  <c r="E75" i="1" l="1"/>
  <c r="G75" i="1" s="1"/>
  <c r="H74" i="1"/>
  <c r="D75" i="1"/>
  <c r="D76" i="1" l="1"/>
  <c r="E76" i="1"/>
  <c r="G76" i="1" s="1"/>
  <c r="H75" i="1"/>
  <c r="E77" i="1" l="1"/>
  <c r="G77" i="1" s="1"/>
  <c r="H76" i="1"/>
  <c r="D77" i="1"/>
  <c r="D78" i="1" l="1"/>
  <c r="E78" i="1"/>
  <c r="G78" i="1" s="1"/>
  <c r="H77" i="1"/>
  <c r="E79" i="1" l="1"/>
  <c r="G79" i="1" s="1"/>
  <c r="H78" i="1"/>
  <c r="D79" i="1"/>
  <c r="D80" i="1" l="1"/>
  <c r="E80" i="1"/>
  <c r="G80" i="1" s="1"/>
  <c r="H79" i="1"/>
  <c r="E81" i="1" l="1"/>
  <c r="G81" i="1" s="1"/>
  <c r="H80" i="1"/>
  <c r="D81" i="1"/>
  <c r="D82" i="1" l="1"/>
  <c r="E82" i="1"/>
  <c r="G82" i="1" s="1"/>
  <c r="H81" i="1"/>
  <c r="E83" i="1" l="1"/>
  <c r="G83" i="1" s="1"/>
  <c r="H82" i="1"/>
  <c r="D83" i="1"/>
  <c r="D84" i="1" l="1"/>
  <c r="E84" i="1"/>
  <c r="G84" i="1" s="1"/>
  <c r="H83" i="1"/>
  <c r="E85" i="1" l="1"/>
  <c r="G85" i="1" s="1"/>
  <c r="H84" i="1"/>
  <c r="D85" i="1"/>
  <c r="D86" i="1" l="1"/>
  <c r="E86" i="1"/>
  <c r="G86" i="1" s="1"/>
  <c r="H85" i="1"/>
  <c r="E87" i="1" l="1"/>
  <c r="G87" i="1" s="1"/>
  <c r="H86" i="1"/>
  <c r="D87" i="1"/>
  <c r="D88" i="1" s="1"/>
  <c r="E88" i="1" l="1"/>
  <c r="G88" i="1" s="1"/>
  <c r="H87" i="1"/>
  <c r="E89" i="1" l="1"/>
  <c r="G89" i="1" s="1"/>
  <c r="H88" i="1"/>
  <c r="D89" i="1"/>
  <c r="D90" i="1" s="1"/>
  <c r="E90" i="1" l="1"/>
  <c r="G90" i="1" s="1"/>
  <c r="H89" i="1"/>
  <c r="E91" i="1" l="1"/>
  <c r="G91" i="1" s="1"/>
  <c r="H90" i="1"/>
  <c r="D91" i="1"/>
  <c r="V1" i="1" s="1"/>
  <c r="H91" i="1" l="1"/>
  <c r="M2" i="1"/>
  <c r="N2" i="1"/>
</calcChain>
</file>

<file path=xl/sharedStrings.xml><?xml version="1.0" encoding="utf-8"?>
<sst xmlns="http://schemas.openxmlformats.org/spreadsheetml/2006/main" count="20" uniqueCount="20">
  <si>
    <t>data</t>
  </si>
  <si>
    <t>stan żołędzi rano (kg)</t>
  </si>
  <si>
    <t>stan siana rano (kg)</t>
  </si>
  <si>
    <t>ilość żubrów</t>
  </si>
  <si>
    <t>ile siana na jednego żubra (kg)</t>
  </si>
  <si>
    <t>ile żołędzi na jednego żubra (kg)</t>
  </si>
  <si>
    <t>ile siana na żubry (kg)</t>
  </si>
  <si>
    <t>ile żołędzi na żubry (kg)</t>
  </si>
  <si>
    <t>dzień tygodnia</t>
  </si>
  <si>
    <t>co jadły</t>
  </si>
  <si>
    <t>kiedy żołędzie</t>
  </si>
  <si>
    <t>czy dostawa siana</t>
  </si>
  <si>
    <t>czy dostawa żołędzi</t>
  </si>
  <si>
    <t>ile dostaw siana</t>
  </si>
  <si>
    <t>ile dostaw żołędzi</t>
  </si>
  <si>
    <t xml:space="preserve">dzień dokarmiania </t>
  </si>
  <si>
    <t>ile razy karmienie sianem</t>
  </si>
  <si>
    <t xml:space="preserve">ile razy karmienie żołędziami </t>
  </si>
  <si>
    <t>Ilość siana (t)</t>
  </si>
  <si>
    <t>Ilość żołędzi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</si>
</sst>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Stan zapasów pożywienia</a:t>
            </a:r>
            <a:r>
              <a:rPr lang="pl-PL" baseline="0"/>
              <a:t> dla żubrów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Arkusz1!$O$2</c:f>
              <c:strCache>
                <c:ptCount val="1"/>
                <c:pt idx="0">
                  <c:v>Ilość siana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Arkusz1!$P$1:$R$1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Arkusz1!$P$2:$R$2</c:f>
              <c:numCache>
                <c:formatCode>General</c:formatCode>
                <c:ptCount val="3"/>
                <c:pt idx="0">
                  <c:v>55.6</c:v>
                </c:pt>
                <c:pt idx="1">
                  <c:v>47.2</c:v>
                </c:pt>
                <c:pt idx="2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C-4D3D-9500-86523670574D}"/>
            </c:ext>
          </c:extLst>
        </c:ser>
        <c:ser>
          <c:idx val="1"/>
          <c:order val="1"/>
          <c:tx>
            <c:strRef>
              <c:f>Arkusz1!$O$3</c:f>
              <c:strCache>
                <c:ptCount val="1"/>
                <c:pt idx="0">
                  <c:v>Ilość żołędzi (t)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Arkusz1!$P$1:$R$1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Arkusz1!$P$3:$R$3</c:f>
              <c:numCache>
                <c:formatCode>General</c:formatCode>
                <c:ptCount val="3"/>
                <c:pt idx="0">
                  <c:v>19.2</c:v>
                </c:pt>
                <c:pt idx="1">
                  <c:v>17.600000000000001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C-4D3D-9500-865236705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37727"/>
        <c:axId val="68842047"/>
      </c:barChart>
      <c:dateAx>
        <c:axId val="68837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842047"/>
        <c:crosses val="autoZero"/>
        <c:auto val="1"/>
        <c:lblOffset val="100"/>
        <c:baseTimeUnit val="months"/>
      </c:dateAx>
      <c:valAx>
        <c:axId val="688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pożywienia w tonach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83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4</xdr:row>
      <xdr:rowOff>57150</xdr:rowOff>
    </xdr:from>
    <xdr:to>
      <xdr:col>20</xdr:col>
      <xdr:colOff>371475</xdr:colOff>
      <xdr:row>18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55E457C-CE86-0FA1-2E30-052C334B0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5351-BCEE-47A5-8544-D0001512364A}">
  <dimension ref="A1:V91"/>
  <sheetViews>
    <sheetView tabSelected="1" topLeftCell="G1" workbookViewId="0">
      <selection activeCell="I12" sqref="I12"/>
    </sheetView>
  </sheetViews>
  <sheetFormatPr defaultRowHeight="15" x14ac:dyDescent="0.25"/>
  <cols>
    <col min="1" max="1" width="18.5703125" customWidth="1"/>
    <col min="2" max="2" width="12.5703125" customWidth="1"/>
    <col min="3" max="3" width="15.42578125" customWidth="1"/>
    <col min="4" max="4" width="19" customWidth="1"/>
    <col min="5" max="5" width="18.7109375" customWidth="1"/>
    <col min="6" max="6" width="29.7109375" customWidth="1"/>
    <col min="7" max="7" width="21" customWidth="1"/>
    <col min="8" max="8" width="14.7109375" customWidth="1"/>
    <col min="9" max="9" width="16.28515625" customWidth="1"/>
    <col min="10" max="10" width="19" customWidth="1"/>
    <col min="11" max="11" width="15.7109375" customWidth="1"/>
    <col min="12" max="12" width="18" customWidth="1"/>
    <col min="13" max="13" width="25.5703125" customWidth="1"/>
    <col min="14" max="14" width="27.5703125" customWidth="1"/>
    <col min="15" max="15" width="14.7109375" customWidth="1"/>
    <col min="16" max="18" width="10.140625" bestFit="1" customWidth="1"/>
  </cols>
  <sheetData>
    <row r="1" spans="1:22" x14ac:dyDescent="0.25">
      <c r="A1" t="s">
        <v>15</v>
      </c>
      <c r="B1" t="s">
        <v>0</v>
      </c>
      <c r="C1" t="s">
        <v>8</v>
      </c>
      <c r="D1" t="s">
        <v>1</v>
      </c>
      <c r="E1" t="s">
        <v>2</v>
      </c>
      <c r="F1" t="s">
        <v>3</v>
      </c>
      <c r="G1" t="s">
        <v>9</v>
      </c>
      <c r="H1" t="s">
        <v>10</v>
      </c>
      <c r="I1" t="s">
        <v>11</v>
      </c>
      <c r="J1" t="s">
        <v>12</v>
      </c>
      <c r="K1" s="6" t="s">
        <v>13</v>
      </c>
      <c r="L1" s="6" t="s">
        <v>14</v>
      </c>
      <c r="M1" s="7" t="s">
        <v>16</v>
      </c>
      <c r="N1" s="7" t="s">
        <v>17</v>
      </c>
      <c r="P1" s="1">
        <v>41274</v>
      </c>
      <c r="Q1" s="1">
        <v>41305</v>
      </c>
      <c r="R1" s="1">
        <v>41333</v>
      </c>
      <c r="V1">
        <f>COUNTIF(D2:D91,"&lt;0")</f>
        <v>0</v>
      </c>
    </row>
    <row r="2" spans="1:22" x14ac:dyDescent="0.25">
      <c r="A2">
        <v>1</v>
      </c>
      <c r="B2" s="1">
        <v>41244</v>
      </c>
      <c r="C2" s="2">
        <f>WEEKDAY(DATE(YEAR(B2),MONTH(B2),DAY(B2)),2)</f>
        <v>6</v>
      </c>
      <c r="D2">
        <v>5000</v>
      </c>
      <c r="E2">
        <v>100000</v>
      </c>
      <c r="F2">
        <v>95</v>
      </c>
      <c r="G2" t="str">
        <f>IF(E2&gt;=50000,"ś","ż")</f>
        <v>ś</v>
      </c>
      <c r="H2" t="str">
        <f>IF(G2="ż", "ŻOŁĘDZIE","")</f>
        <v/>
      </c>
      <c r="I2">
        <f>IF(C2=5,1,0)</f>
        <v>0</v>
      </c>
      <c r="J2">
        <f>IF(C2=2,1,0)</f>
        <v>0</v>
      </c>
      <c r="K2" s="6">
        <f>SUM(I2:I91)</f>
        <v>12</v>
      </c>
      <c r="L2" s="6">
        <f>SUM(J2:J91)</f>
        <v>13</v>
      </c>
      <c r="M2" s="7">
        <f>COUNTIF(G2:G91,"ś")</f>
        <v>61</v>
      </c>
      <c r="N2" s="7">
        <f>COUNTIF(G2:G91,"ż")</f>
        <v>29</v>
      </c>
      <c r="O2" t="s">
        <v>18</v>
      </c>
      <c r="P2">
        <v>55.6</v>
      </c>
      <c r="Q2">
        <v>47.2</v>
      </c>
      <c r="R2">
        <v>49.6</v>
      </c>
    </row>
    <row r="3" spans="1:22" x14ac:dyDescent="0.25">
      <c r="A3">
        <v>2</v>
      </c>
      <c r="B3" s="1">
        <v>41245</v>
      </c>
      <c r="C3" s="2">
        <f t="shared" ref="C3:C66" si="0">WEEKDAY(DATE(YEAR(B3),MONTH(B3),DAY(B3)),2)</f>
        <v>7</v>
      </c>
      <c r="D3">
        <f>IF(C2=2,IF(G2="ż",D2+4000-($F$10), D2+4000),IF(G2="ż",D2-($F$10),D2))</f>
        <v>5000</v>
      </c>
      <c r="E3">
        <f>IF(C2=5,IF(G2="ś",E2+15000-($F$8), E2+15000),IF(G2="ś",E2-($F$8),E2))</f>
        <v>96200</v>
      </c>
      <c r="F3" t="s">
        <v>4</v>
      </c>
      <c r="G3" t="str">
        <f t="shared" ref="G3:G66" si="1">IF(E3&gt;=50000,"ś","ż")</f>
        <v>ś</v>
      </c>
      <c r="H3" t="str">
        <f t="shared" ref="H3:H66" si="2">IF(G3="ż", "ŻOŁĘDZIE","")</f>
        <v/>
      </c>
      <c r="I3">
        <f t="shared" ref="I3:I66" si="3">IF(C3=5,1,0)</f>
        <v>0</v>
      </c>
      <c r="J3">
        <f t="shared" ref="J3:J66" si="4">IF(C3=2,1,0)</f>
        <v>0</v>
      </c>
      <c r="O3" t="s">
        <v>19</v>
      </c>
      <c r="P3">
        <v>19.2</v>
      </c>
      <c r="Q3">
        <v>17.600000000000001</v>
      </c>
      <c r="R3">
        <v>12</v>
      </c>
    </row>
    <row r="4" spans="1:22" x14ac:dyDescent="0.25">
      <c r="A4">
        <v>3</v>
      </c>
      <c r="B4" s="1">
        <v>41246</v>
      </c>
      <c r="C4" s="2">
        <f t="shared" si="0"/>
        <v>1</v>
      </c>
      <c r="D4">
        <f t="shared" ref="D4:D67" si="5">IF(C3=2,IF(G3="ż",D3+4000-($F$10), D3+4000),IF(G3="ż",D3-($F$10),D3))</f>
        <v>5000</v>
      </c>
      <c r="E4">
        <f t="shared" ref="E4:E67" si="6">IF(C3=5,IF(G3="ś",E3+15000-($F$8), E3+15000),IF(G3="ś",E3-($F$8),E3))</f>
        <v>92400</v>
      </c>
      <c r="F4">
        <v>40</v>
      </c>
      <c r="G4" t="str">
        <f t="shared" si="1"/>
        <v>ś</v>
      </c>
      <c r="H4" t="str">
        <f t="shared" si="2"/>
        <v/>
      </c>
      <c r="I4">
        <f t="shared" si="3"/>
        <v>0</v>
      </c>
      <c r="J4">
        <f t="shared" si="4"/>
        <v>0</v>
      </c>
    </row>
    <row r="5" spans="1:22" x14ac:dyDescent="0.25">
      <c r="A5">
        <v>4</v>
      </c>
      <c r="B5" s="1">
        <v>41247</v>
      </c>
      <c r="C5" s="2">
        <f t="shared" si="0"/>
        <v>2</v>
      </c>
      <c r="D5">
        <f t="shared" si="5"/>
        <v>5000</v>
      </c>
      <c r="E5">
        <f t="shared" si="6"/>
        <v>88600</v>
      </c>
      <c r="F5" t="s">
        <v>5</v>
      </c>
      <c r="G5" t="str">
        <f t="shared" si="1"/>
        <v>ś</v>
      </c>
      <c r="H5" t="str">
        <f t="shared" si="2"/>
        <v/>
      </c>
      <c r="I5">
        <f t="shared" si="3"/>
        <v>0</v>
      </c>
      <c r="J5">
        <f t="shared" si="4"/>
        <v>1</v>
      </c>
    </row>
    <row r="6" spans="1:22" x14ac:dyDescent="0.25">
      <c r="A6">
        <v>5</v>
      </c>
      <c r="B6" s="1">
        <v>41248</v>
      </c>
      <c r="C6" s="2">
        <f t="shared" si="0"/>
        <v>3</v>
      </c>
      <c r="D6">
        <f t="shared" si="5"/>
        <v>9000</v>
      </c>
      <c r="E6">
        <f t="shared" si="6"/>
        <v>84800</v>
      </c>
      <c r="F6">
        <v>20</v>
      </c>
      <c r="G6" t="str">
        <f t="shared" si="1"/>
        <v>ś</v>
      </c>
      <c r="H6" t="str">
        <f t="shared" si="2"/>
        <v/>
      </c>
      <c r="I6">
        <f t="shared" si="3"/>
        <v>0</v>
      </c>
      <c r="J6">
        <f t="shared" si="4"/>
        <v>0</v>
      </c>
    </row>
    <row r="7" spans="1:22" x14ac:dyDescent="0.25">
      <c r="A7">
        <v>6</v>
      </c>
      <c r="B7" s="1">
        <v>41249</v>
      </c>
      <c r="C7" s="2">
        <f t="shared" si="0"/>
        <v>4</v>
      </c>
      <c r="D7">
        <f t="shared" si="5"/>
        <v>9000</v>
      </c>
      <c r="E7">
        <f t="shared" si="6"/>
        <v>81000</v>
      </c>
      <c r="F7" t="s">
        <v>6</v>
      </c>
      <c r="G7" t="str">
        <f t="shared" si="1"/>
        <v>ś</v>
      </c>
      <c r="H7" t="str">
        <f t="shared" si="2"/>
        <v/>
      </c>
      <c r="I7">
        <f t="shared" si="3"/>
        <v>0</v>
      </c>
      <c r="J7">
        <f t="shared" si="4"/>
        <v>0</v>
      </c>
    </row>
    <row r="8" spans="1:22" x14ac:dyDescent="0.25">
      <c r="A8">
        <v>7</v>
      </c>
      <c r="B8" s="1">
        <v>41250</v>
      </c>
      <c r="C8" s="2">
        <f t="shared" si="0"/>
        <v>5</v>
      </c>
      <c r="D8">
        <f t="shared" si="5"/>
        <v>9000</v>
      </c>
      <c r="E8">
        <f t="shared" si="6"/>
        <v>77200</v>
      </c>
      <c r="F8">
        <f>F2*F4</f>
        <v>3800</v>
      </c>
      <c r="G8" t="str">
        <f t="shared" si="1"/>
        <v>ś</v>
      </c>
      <c r="H8" t="str">
        <f t="shared" si="2"/>
        <v/>
      </c>
      <c r="I8">
        <f t="shared" si="3"/>
        <v>1</v>
      </c>
      <c r="J8">
        <f t="shared" si="4"/>
        <v>0</v>
      </c>
    </row>
    <row r="9" spans="1:22" x14ac:dyDescent="0.25">
      <c r="A9">
        <v>8</v>
      </c>
      <c r="B9" s="1">
        <v>41251</v>
      </c>
      <c r="C9" s="2">
        <f t="shared" si="0"/>
        <v>6</v>
      </c>
      <c r="D9">
        <f t="shared" si="5"/>
        <v>9000</v>
      </c>
      <c r="E9">
        <f t="shared" si="6"/>
        <v>88400</v>
      </c>
      <c r="F9" t="s">
        <v>7</v>
      </c>
      <c r="G9" t="str">
        <f t="shared" si="1"/>
        <v>ś</v>
      </c>
      <c r="H9" t="str">
        <f t="shared" si="2"/>
        <v/>
      </c>
      <c r="I9">
        <f t="shared" si="3"/>
        <v>0</v>
      </c>
      <c r="J9">
        <f t="shared" si="4"/>
        <v>0</v>
      </c>
    </row>
    <row r="10" spans="1:22" x14ac:dyDescent="0.25">
      <c r="A10">
        <v>9</v>
      </c>
      <c r="B10" s="1">
        <v>41252</v>
      </c>
      <c r="C10" s="2">
        <f t="shared" si="0"/>
        <v>7</v>
      </c>
      <c r="D10">
        <f t="shared" si="5"/>
        <v>9000</v>
      </c>
      <c r="E10">
        <f t="shared" si="6"/>
        <v>84600</v>
      </c>
      <c r="F10">
        <f>F2*F6</f>
        <v>1900</v>
      </c>
      <c r="G10" t="str">
        <f t="shared" si="1"/>
        <v>ś</v>
      </c>
      <c r="H10" t="str">
        <f t="shared" si="2"/>
        <v/>
      </c>
      <c r="I10">
        <f t="shared" si="3"/>
        <v>0</v>
      </c>
      <c r="J10">
        <f t="shared" si="4"/>
        <v>0</v>
      </c>
    </row>
    <row r="11" spans="1:22" x14ac:dyDescent="0.25">
      <c r="A11">
        <v>10</v>
      </c>
      <c r="B11" s="1">
        <v>41253</v>
      </c>
      <c r="C11" s="2">
        <f t="shared" si="0"/>
        <v>1</v>
      </c>
      <c r="D11">
        <f t="shared" si="5"/>
        <v>9000</v>
      </c>
      <c r="E11">
        <f t="shared" si="6"/>
        <v>80800</v>
      </c>
      <c r="G11" t="str">
        <f t="shared" si="1"/>
        <v>ś</v>
      </c>
      <c r="H11" t="str">
        <f t="shared" si="2"/>
        <v/>
      </c>
      <c r="I11">
        <f t="shared" si="3"/>
        <v>0</v>
      </c>
      <c r="J11">
        <f t="shared" si="4"/>
        <v>0</v>
      </c>
    </row>
    <row r="12" spans="1:22" x14ac:dyDescent="0.25">
      <c r="A12">
        <v>11</v>
      </c>
      <c r="B12" s="1">
        <v>41254</v>
      </c>
      <c r="C12" s="2">
        <f t="shared" si="0"/>
        <v>2</v>
      </c>
      <c r="D12">
        <f t="shared" si="5"/>
        <v>9000</v>
      </c>
      <c r="E12">
        <f t="shared" si="6"/>
        <v>77000</v>
      </c>
      <c r="G12" t="str">
        <f t="shared" si="1"/>
        <v>ś</v>
      </c>
      <c r="H12" t="str">
        <f t="shared" si="2"/>
        <v/>
      </c>
      <c r="I12">
        <f t="shared" si="3"/>
        <v>0</v>
      </c>
      <c r="J12">
        <f t="shared" si="4"/>
        <v>1</v>
      </c>
    </row>
    <row r="13" spans="1:22" x14ac:dyDescent="0.25">
      <c r="A13">
        <v>12</v>
      </c>
      <c r="B13" s="1">
        <v>41255</v>
      </c>
      <c r="C13" s="2">
        <f t="shared" si="0"/>
        <v>3</v>
      </c>
      <c r="D13">
        <f t="shared" si="5"/>
        <v>13000</v>
      </c>
      <c r="E13">
        <f t="shared" si="6"/>
        <v>73200</v>
      </c>
      <c r="G13" t="str">
        <f t="shared" si="1"/>
        <v>ś</v>
      </c>
      <c r="H13" t="str">
        <f t="shared" si="2"/>
        <v/>
      </c>
      <c r="I13">
        <f t="shared" si="3"/>
        <v>0</v>
      </c>
      <c r="J13">
        <f t="shared" si="4"/>
        <v>0</v>
      </c>
    </row>
    <row r="14" spans="1:22" x14ac:dyDescent="0.25">
      <c r="A14">
        <v>13</v>
      </c>
      <c r="B14" s="1">
        <v>41256</v>
      </c>
      <c r="C14" s="2">
        <f t="shared" si="0"/>
        <v>4</v>
      </c>
      <c r="D14">
        <f t="shared" si="5"/>
        <v>13000</v>
      </c>
      <c r="E14">
        <f t="shared" si="6"/>
        <v>69400</v>
      </c>
      <c r="G14" t="str">
        <f t="shared" si="1"/>
        <v>ś</v>
      </c>
      <c r="H14" t="str">
        <f t="shared" si="2"/>
        <v/>
      </c>
      <c r="I14">
        <f t="shared" si="3"/>
        <v>0</v>
      </c>
      <c r="J14">
        <f t="shared" si="4"/>
        <v>0</v>
      </c>
    </row>
    <row r="15" spans="1:22" x14ac:dyDescent="0.25">
      <c r="A15">
        <v>14</v>
      </c>
      <c r="B15" s="1">
        <v>41257</v>
      </c>
      <c r="C15" s="2">
        <f t="shared" si="0"/>
        <v>5</v>
      </c>
      <c r="D15">
        <f t="shared" si="5"/>
        <v>13000</v>
      </c>
      <c r="E15">
        <f t="shared" si="6"/>
        <v>65600</v>
      </c>
      <c r="G15" t="str">
        <f t="shared" si="1"/>
        <v>ś</v>
      </c>
      <c r="H15" t="str">
        <f t="shared" si="2"/>
        <v/>
      </c>
      <c r="I15">
        <f t="shared" si="3"/>
        <v>1</v>
      </c>
      <c r="J15">
        <f t="shared" si="4"/>
        <v>0</v>
      </c>
    </row>
    <row r="16" spans="1:22" x14ac:dyDescent="0.25">
      <c r="A16">
        <v>15</v>
      </c>
      <c r="B16" s="1">
        <v>41258</v>
      </c>
      <c r="C16" s="2">
        <f t="shared" si="0"/>
        <v>6</v>
      </c>
      <c r="D16">
        <f t="shared" si="5"/>
        <v>13000</v>
      </c>
      <c r="E16">
        <f t="shared" si="6"/>
        <v>76800</v>
      </c>
      <c r="G16" t="str">
        <f t="shared" si="1"/>
        <v>ś</v>
      </c>
      <c r="H16" t="str">
        <f t="shared" si="2"/>
        <v/>
      </c>
      <c r="I16">
        <f t="shared" si="3"/>
        <v>0</v>
      </c>
      <c r="J16">
        <f t="shared" si="4"/>
        <v>0</v>
      </c>
    </row>
    <row r="17" spans="1:10" x14ac:dyDescent="0.25">
      <c r="A17">
        <v>16</v>
      </c>
      <c r="B17" s="1">
        <v>41259</v>
      </c>
      <c r="C17" s="2">
        <f t="shared" si="0"/>
        <v>7</v>
      </c>
      <c r="D17">
        <f t="shared" si="5"/>
        <v>13000</v>
      </c>
      <c r="E17">
        <f t="shared" si="6"/>
        <v>73000</v>
      </c>
      <c r="G17" t="str">
        <f t="shared" si="1"/>
        <v>ś</v>
      </c>
      <c r="H17" t="str">
        <f t="shared" si="2"/>
        <v/>
      </c>
      <c r="I17">
        <f t="shared" si="3"/>
        <v>0</v>
      </c>
      <c r="J17">
        <f t="shared" si="4"/>
        <v>0</v>
      </c>
    </row>
    <row r="18" spans="1:10" x14ac:dyDescent="0.25">
      <c r="A18">
        <v>17</v>
      </c>
      <c r="B18" s="1">
        <v>41260</v>
      </c>
      <c r="C18" s="2">
        <f t="shared" si="0"/>
        <v>1</v>
      </c>
      <c r="D18">
        <f t="shared" si="5"/>
        <v>13000</v>
      </c>
      <c r="E18">
        <f t="shared" si="6"/>
        <v>69200</v>
      </c>
      <c r="G18" t="str">
        <f t="shared" si="1"/>
        <v>ś</v>
      </c>
      <c r="H18" t="str">
        <f t="shared" si="2"/>
        <v/>
      </c>
      <c r="I18">
        <f t="shared" si="3"/>
        <v>0</v>
      </c>
      <c r="J18">
        <f t="shared" si="4"/>
        <v>0</v>
      </c>
    </row>
    <row r="19" spans="1:10" x14ac:dyDescent="0.25">
      <c r="A19">
        <v>18</v>
      </c>
      <c r="B19" s="1">
        <v>41261</v>
      </c>
      <c r="C19" s="2">
        <f t="shared" si="0"/>
        <v>2</v>
      </c>
      <c r="D19">
        <f t="shared" si="5"/>
        <v>13000</v>
      </c>
      <c r="E19">
        <f t="shared" si="6"/>
        <v>65400</v>
      </c>
      <c r="G19" t="str">
        <f t="shared" si="1"/>
        <v>ś</v>
      </c>
      <c r="H19" t="str">
        <f t="shared" si="2"/>
        <v/>
      </c>
      <c r="I19">
        <f t="shared" si="3"/>
        <v>0</v>
      </c>
      <c r="J19">
        <f t="shared" si="4"/>
        <v>1</v>
      </c>
    </row>
    <row r="20" spans="1:10" x14ac:dyDescent="0.25">
      <c r="A20">
        <v>19</v>
      </c>
      <c r="B20" s="1">
        <v>41262</v>
      </c>
      <c r="C20" s="2">
        <f t="shared" si="0"/>
        <v>3</v>
      </c>
      <c r="D20">
        <f t="shared" si="5"/>
        <v>17000</v>
      </c>
      <c r="E20">
        <f t="shared" si="6"/>
        <v>61600</v>
      </c>
      <c r="G20" t="str">
        <f t="shared" si="1"/>
        <v>ś</v>
      </c>
      <c r="H20" t="str">
        <f t="shared" si="2"/>
        <v/>
      </c>
      <c r="I20">
        <f t="shared" si="3"/>
        <v>0</v>
      </c>
      <c r="J20">
        <f t="shared" si="4"/>
        <v>0</v>
      </c>
    </row>
    <row r="21" spans="1:10" x14ac:dyDescent="0.25">
      <c r="A21">
        <v>20</v>
      </c>
      <c r="B21" s="1">
        <v>41263</v>
      </c>
      <c r="C21" s="2">
        <f t="shared" si="0"/>
        <v>4</v>
      </c>
      <c r="D21">
        <f t="shared" si="5"/>
        <v>17000</v>
      </c>
      <c r="E21">
        <f t="shared" si="6"/>
        <v>57800</v>
      </c>
      <c r="G21" t="str">
        <f t="shared" si="1"/>
        <v>ś</v>
      </c>
      <c r="H21" t="str">
        <f t="shared" si="2"/>
        <v/>
      </c>
      <c r="I21">
        <f t="shared" si="3"/>
        <v>0</v>
      </c>
      <c r="J21">
        <f t="shared" si="4"/>
        <v>0</v>
      </c>
    </row>
    <row r="22" spans="1:10" x14ac:dyDescent="0.25">
      <c r="A22">
        <v>21</v>
      </c>
      <c r="B22" s="1">
        <v>41264</v>
      </c>
      <c r="C22" s="2">
        <f t="shared" si="0"/>
        <v>5</v>
      </c>
      <c r="D22">
        <f t="shared" si="5"/>
        <v>17000</v>
      </c>
      <c r="E22">
        <f t="shared" si="6"/>
        <v>54000</v>
      </c>
      <c r="G22" t="str">
        <f t="shared" si="1"/>
        <v>ś</v>
      </c>
      <c r="H22" t="str">
        <f t="shared" si="2"/>
        <v/>
      </c>
      <c r="I22">
        <f t="shared" si="3"/>
        <v>1</v>
      </c>
      <c r="J22">
        <f t="shared" si="4"/>
        <v>0</v>
      </c>
    </row>
    <row r="23" spans="1:10" x14ac:dyDescent="0.25">
      <c r="A23">
        <v>22</v>
      </c>
      <c r="B23" s="1">
        <v>41265</v>
      </c>
      <c r="C23" s="2">
        <f t="shared" si="0"/>
        <v>6</v>
      </c>
      <c r="D23">
        <f t="shared" si="5"/>
        <v>17000</v>
      </c>
      <c r="E23">
        <f t="shared" si="6"/>
        <v>65200</v>
      </c>
      <c r="G23" t="str">
        <f t="shared" si="1"/>
        <v>ś</v>
      </c>
      <c r="H23" t="str">
        <f t="shared" si="2"/>
        <v/>
      </c>
      <c r="I23">
        <f t="shared" si="3"/>
        <v>0</v>
      </c>
      <c r="J23">
        <f t="shared" si="4"/>
        <v>0</v>
      </c>
    </row>
    <row r="24" spans="1:10" x14ac:dyDescent="0.25">
      <c r="A24">
        <v>23</v>
      </c>
      <c r="B24" s="1">
        <v>41266</v>
      </c>
      <c r="C24" s="2">
        <f t="shared" si="0"/>
        <v>7</v>
      </c>
      <c r="D24">
        <f t="shared" si="5"/>
        <v>17000</v>
      </c>
      <c r="E24">
        <f t="shared" si="6"/>
        <v>61400</v>
      </c>
      <c r="G24" t="str">
        <f t="shared" si="1"/>
        <v>ś</v>
      </c>
      <c r="H24" t="str">
        <f t="shared" si="2"/>
        <v/>
      </c>
      <c r="I24">
        <f t="shared" si="3"/>
        <v>0</v>
      </c>
      <c r="J24">
        <f t="shared" si="4"/>
        <v>0</v>
      </c>
    </row>
    <row r="25" spans="1:10" x14ac:dyDescent="0.25">
      <c r="A25">
        <v>24</v>
      </c>
      <c r="B25" s="1">
        <v>41267</v>
      </c>
      <c r="C25" s="2">
        <f t="shared" si="0"/>
        <v>1</v>
      </c>
      <c r="D25">
        <f t="shared" si="5"/>
        <v>17000</v>
      </c>
      <c r="E25">
        <f t="shared" si="6"/>
        <v>57600</v>
      </c>
      <c r="G25" t="str">
        <f t="shared" si="1"/>
        <v>ś</v>
      </c>
      <c r="H25" t="str">
        <f t="shared" si="2"/>
        <v/>
      </c>
      <c r="I25">
        <f t="shared" si="3"/>
        <v>0</v>
      </c>
      <c r="J25">
        <f t="shared" si="4"/>
        <v>0</v>
      </c>
    </row>
    <row r="26" spans="1:10" x14ac:dyDescent="0.25">
      <c r="A26">
        <v>25</v>
      </c>
      <c r="B26" s="1">
        <v>41268</v>
      </c>
      <c r="C26" s="2">
        <f t="shared" si="0"/>
        <v>2</v>
      </c>
      <c r="D26">
        <f t="shared" si="5"/>
        <v>17000</v>
      </c>
      <c r="E26">
        <f t="shared" si="6"/>
        <v>53800</v>
      </c>
      <c r="G26" t="str">
        <f t="shared" si="1"/>
        <v>ś</v>
      </c>
      <c r="H26" t="str">
        <f t="shared" si="2"/>
        <v/>
      </c>
      <c r="I26">
        <f t="shared" si="3"/>
        <v>0</v>
      </c>
      <c r="J26">
        <f t="shared" si="4"/>
        <v>1</v>
      </c>
    </row>
    <row r="27" spans="1:10" x14ac:dyDescent="0.25">
      <c r="A27">
        <v>26</v>
      </c>
      <c r="B27" s="1">
        <v>41269</v>
      </c>
      <c r="C27" s="2">
        <f t="shared" si="0"/>
        <v>3</v>
      </c>
      <c r="D27">
        <f t="shared" si="5"/>
        <v>21000</v>
      </c>
      <c r="E27">
        <f t="shared" si="6"/>
        <v>50000</v>
      </c>
      <c r="G27" t="str">
        <f t="shared" si="1"/>
        <v>ś</v>
      </c>
      <c r="H27" t="str">
        <f t="shared" si="2"/>
        <v/>
      </c>
      <c r="I27">
        <f t="shared" si="3"/>
        <v>0</v>
      </c>
      <c r="J27">
        <f t="shared" si="4"/>
        <v>0</v>
      </c>
    </row>
    <row r="28" spans="1:10" x14ac:dyDescent="0.25">
      <c r="A28">
        <v>27</v>
      </c>
      <c r="B28" s="1">
        <v>41270</v>
      </c>
      <c r="C28" s="2">
        <f t="shared" si="0"/>
        <v>4</v>
      </c>
      <c r="D28">
        <f t="shared" si="5"/>
        <v>21000</v>
      </c>
      <c r="E28">
        <f t="shared" si="6"/>
        <v>46200</v>
      </c>
      <c r="G28" t="str">
        <f t="shared" si="1"/>
        <v>ż</v>
      </c>
      <c r="H28" t="str">
        <f t="shared" si="2"/>
        <v>ŻOŁĘDZIE</v>
      </c>
      <c r="I28">
        <f t="shared" si="3"/>
        <v>0</v>
      </c>
      <c r="J28">
        <f t="shared" si="4"/>
        <v>0</v>
      </c>
    </row>
    <row r="29" spans="1:10" x14ac:dyDescent="0.25">
      <c r="A29" s="3">
        <v>28</v>
      </c>
      <c r="B29" s="4">
        <v>41271</v>
      </c>
      <c r="C29" s="5">
        <f t="shared" si="0"/>
        <v>5</v>
      </c>
      <c r="D29" s="3">
        <f t="shared" si="5"/>
        <v>19100</v>
      </c>
      <c r="E29" s="3">
        <f t="shared" si="6"/>
        <v>46200</v>
      </c>
      <c r="F29" s="3"/>
      <c r="G29" s="3" t="str">
        <f t="shared" si="1"/>
        <v>ż</v>
      </c>
      <c r="H29" s="3" t="str">
        <f t="shared" si="2"/>
        <v>ŻOŁĘDZIE</v>
      </c>
      <c r="I29">
        <f t="shared" si="3"/>
        <v>1</v>
      </c>
      <c r="J29">
        <f t="shared" si="4"/>
        <v>0</v>
      </c>
    </row>
    <row r="30" spans="1:10" x14ac:dyDescent="0.25">
      <c r="A30">
        <v>29</v>
      </c>
      <c r="B30" s="1">
        <v>41272</v>
      </c>
      <c r="C30" s="2">
        <f t="shared" si="0"/>
        <v>6</v>
      </c>
      <c r="D30">
        <f t="shared" si="5"/>
        <v>17200</v>
      </c>
      <c r="E30">
        <f t="shared" si="6"/>
        <v>61200</v>
      </c>
      <c r="G30" t="str">
        <f t="shared" si="1"/>
        <v>ś</v>
      </c>
      <c r="H30" t="str">
        <f t="shared" si="2"/>
        <v/>
      </c>
      <c r="I30">
        <f t="shared" si="3"/>
        <v>0</v>
      </c>
      <c r="J30">
        <f t="shared" si="4"/>
        <v>0</v>
      </c>
    </row>
    <row r="31" spans="1:10" x14ac:dyDescent="0.25">
      <c r="A31">
        <v>30</v>
      </c>
      <c r="B31" s="1">
        <v>41273</v>
      </c>
      <c r="C31" s="2">
        <f t="shared" si="0"/>
        <v>7</v>
      </c>
      <c r="D31">
        <f t="shared" si="5"/>
        <v>17200</v>
      </c>
      <c r="E31">
        <f t="shared" si="6"/>
        <v>57400</v>
      </c>
      <c r="G31" t="str">
        <f t="shared" si="1"/>
        <v>ś</v>
      </c>
      <c r="H31" t="str">
        <f t="shared" si="2"/>
        <v/>
      </c>
      <c r="I31">
        <f t="shared" si="3"/>
        <v>0</v>
      </c>
      <c r="J31">
        <f t="shared" si="4"/>
        <v>0</v>
      </c>
    </row>
    <row r="32" spans="1:10" x14ac:dyDescent="0.25">
      <c r="A32">
        <v>31</v>
      </c>
      <c r="B32" s="1">
        <v>41274</v>
      </c>
      <c r="C32" s="2">
        <f t="shared" si="0"/>
        <v>1</v>
      </c>
      <c r="D32">
        <f t="shared" si="5"/>
        <v>17200</v>
      </c>
      <c r="E32">
        <f t="shared" si="6"/>
        <v>53600</v>
      </c>
      <c r="G32" t="str">
        <f t="shared" si="1"/>
        <v>ś</v>
      </c>
      <c r="H32" t="str">
        <f t="shared" si="2"/>
        <v/>
      </c>
      <c r="I32">
        <f t="shared" si="3"/>
        <v>0</v>
      </c>
      <c r="J32">
        <f t="shared" si="4"/>
        <v>0</v>
      </c>
    </row>
    <row r="33" spans="1:10" x14ac:dyDescent="0.25">
      <c r="A33">
        <v>32</v>
      </c>
      <c r="B33" s="1">
        <v>41275</v>
      </c>
      <c r="C33" s="2">
        <f t="shared" si="0"/>
        <v>2</v>
      </c>
      <c r="D33">
        <f t="shared" si="5"/>
        <v>17200</v>
      </c>
      <c r="E33">
        <f t="shared" si="6"/>
        <v>49800</v>
      </c>
      <c r="G33" t="str">
        <f t="shared" si="1"/>
        <v>ż</v>
      </c>
      <c r="H33" t="str">
        <f t="shared" si="2"/>
        <v>ŻOŁĘDZIE</v>
      </c>
      <c r="I33">
        <f t="shared" si="3"/>
        <v>0</v>
      </c>
      <c r="J33">
        <f t="shared" si="4"/>
        <v>1</v>
      </c>
    </row>
    <row r="34" spans="1:10" x14ac:dyDescent="0.25">
      <c r="A34">
        <v>33</v>
      </c>
      <c r="B34" s="1">
        <v>41276</v>
      </c>
      <c r="C34" s="2">
        <f t="shared" si="0"/>
        <v>3</v>
      </c>
      <c r="D34">
        <f t="shared" si="5"/>
        <v>19300</v>
      </c>
      <c r="E34">
        <f t="shared" si="6"/>
        <v>49800</v>
      </c>
      <c r="G34" t="str">
        <f t="shared" si="1"/>
        <v>ż</v>
      </c>
      <c r="H34" t="str">
        <f t="shared" si="2"/>
        <v>ŻOŁĘDZIE</v>
      </c>
      <c r="I34">
        <f t="shared" si="3"/>
        <v>0</v>
      </c>
      <c r="J34">
        <f t="shared" si="4"/>
        <v>0</v>
      </c>
    </row>
    <row r="35" spans="1:10" x14ac:dyDescent="0.25">
      <c r="A35">
        <v>34</v>
      </c>
      <c r="B35" s="1">
        <v>41277</v>
      </c>
      <c r="C35" s="2">
        <f t="shared" si="0"/>
        <v>4</v>
      </c>
      <c r="D35">
        <f t="shared" si="5"/>
        <v>17400</v>
      </c>
      <c r="E35">
        <f t="shared" si="6"/>
        <v>49800</v>
      </c>
      <c r="G35" t="str">
        <f t="shared" si="1"/>
        <v>ż</v>
      </c>
      <c r="H35" t="str">
        <f t="shared" si="2"/>
        <v>ŻOŁĘDZIE</v>
      </c>
      <c r="I35">
        <f t="shared" si="3"/>
        <v>0</v>
      </c>
      <c r="J35">
        <f t="shared" si="4"/>
        <v>0</v>
      </c>
    </row>
    <row r="36" spans="1:10" x14ac:dyDescent="0.25">
      <c r="A36">
        <v>35</v>
      </c>
      <c r="B36" s="1">
        <v>41278</v>
      </c>
      <c r="C36" s="2">
        <f t="shared" si="0"/>
        <v>5</v>
      </c>
      <c r="D36">
        <f t="shared" si="5"/>
        <v>15500</v>
      </c>
      <c r="E36">
        <f t="shared" si="6"/>
        <v>49800</v>
      </c>
      <c r="G36" t="str">
        <f t="shared" si="1"/>
        <v>ż</v>
      </c>
      <c r="H36" t="str">
        <f t="shared" si="2"/>
        <v>ŻOŁĘDZIE</v>
      </c>
      <c r="I36">
        <f t="shared" si="3"/>
        <v>1</v>
      </c>
      <c r="J36">
        <f t="shared" si="4"/>
        <v>0</v>
      </c>
    </row>
    <row r="37" spans="1:10" x14ac:dyDescent="0.25">
      <c r="A37">
        <v>36</v>
      </c>
      <c r="B37" s="1">
        <v>41279</v>
      </c>
      <c r="C37" s="2">
        <f t="shared" si="0"/>
        <v>6</v>
      </c>
      <c r="D37">
        <f t="shared" si="5"/>
        <v>13600</v>
      </c>
      <c r="E37">
        <f t="shared" si="6"/>
        <v>64800</v>
      </c>
      <c r="G37" t="str">
        <f t="shared" si="1"/>
        <v>ś</v>
      </c>
      <c r="H37" t="str">
        <f t="shared" si="2"/>
        <v/>
      </c>
      <c r="I37">
        <f t="shared" si="3"/>
        <v>0</v>
      </c>
      <c r="J37">
        <f t="shared" si="4"/>
        <v>0</v>
      </c>
    </row>
    <row r="38" spans="1:10" x14ac:dyDescent="0.25">
      <c r="A38">
        <v>37</v>
      </c>
      <c r="B38" s="1">
        <v>41280</v>
      </c>
      <c r="C38" s="2">
        <f t="shared" si="0"/>
        <v>7</v>
      </c>
      <c r="D38">
        <f t="shared" si="5"/>
        <v>13600</v>
      </c>
      <c r="E38">
        <f t="shared" si="6"/>
        <v>61000</v>
      </c>
      <c r="G38" t="str">
        <f t="shared" si="1"/>
        <v>ś</v>
      </c>
      <c r="H38" t="str">
        <f t="shared" si="2"/>
        <v/>
      </c>
      <c r="I38">
        <f t="shared" si="3"/>
        <v>0</v>
      </c>
      <c r="J38">
        <f t="shared" si="4"/>
        <v>0</v>
      </c>
    </row>
    <row r="39" spans="1:10" x14ac:dyDescent="0.25">
      <c r="A39">
        <v>38</v>
      </c>
      <c r="B39" s="1">
        <v>41281</v>
      </c>
      <c r="C39" s="2">
        <f t="shared" si="0"/>
        <v>1</v>
      </c>
      <c r="D39">
        <f t="shared" si="5"/>
        <v>13600</v>
      </c>
      <c r="E39">
        <f t="shared" si="6"/>
        <v>57200</v>
      </c>
      <c r="G39" t="str">
        <f t="shared" si="1"/>
        <v>ś</v>
      </c>
      <c r="H39" t="str">
        <f t="shared" si="2"/>
        <v/>
      </c>
      <c r="I39">
        <f t="shared" si="3"/>
        <v>0</v>
      </c>
      <c r="J39">
        <f t="shared" si="4"/>
        <v>0</v>
      </c>
    </row>
    <row r="40" spans="1:10" x14ac:dyDescent="0.25">
      <c r="A40">
        <v>39</v>
      </c>
      <c r="B40" s="1">
        <v>41282</v>
      </c>
      <c r="C40" s="2">
        <f t="shared" si="0"/>
        <v>2</v>
      </c>
      <c r="D40">
        <f t="shared" si="5"/>
        <v>13600</v>
      </c>
      <c r="E40">
        <f t="shared" si="6"/>
        <v>53400</v>
      </c>
      <c r="G40" t="str">
        <f t="shared" si="1"/>
        <v>ś</v>
      </c>
      <c r="H40" t="str">
        <f t="shared" si="2"/>
        <v/>
      </c>
      <c r="I40">
        <f t="shared" si="3"/>
        <v>0</v>
      </c>
      <c r="J40">
        <f t="shared" si="4"/>
        <v>1</v>
      </c>
    </row>
    <row r="41" spans="1:10" x14ac:dyDescent="0.25">
      <c r="A41">
        <v>40</v>
      </c>
      <c r="B41" s="1">
        <v>41283</v>
      </c>
      <c r="C41" s="2">
        <f t="shared" si="0"/>
        <v>3</v>
      </c>
      <c r="D41">
        <f t="shared" si="5"/>
        <v>17600</v>
      </c>
      <c r="E41">
        <f t="shared" si="6"/>
        <v>49600</v>
      </c>
      <c r="G41" t="str">
        <f t="shared" si="1"/>
        <v>ż</v>
      </c>
      <c r="H41" t="str">
        <f t="shared" si="2"/>
        <v>ŻOŁĘDZIE</v>
      </c>
      <c r="I41">
        <f t="shared" si="3"/>
        <v>0</v>
      </c>
      <c r="J41">
        <f t="shared" si="4"/>
        <v>0</v>
      </c>
    </row>
    <row r="42" spans="1:10" x14ac:dyDescent="0.25">
      <c r="A42">
        <v>41</v>
      </c>
      <c r="B42" s="1">
        <v>41284</v>
      </c>
      <c r="C42" s="2">
        <f t="shared" si="0"/>
        <v>4</v>
      </c>
      <c r="D42">
        <f t="shared" si="5"/>
        <v>15700</v>
      </c>
      <c r="E42">
        <f t="shared" si="6"/>
        <v>49600</v>
      </c>
      <c r="G42" t="str">
        <f t="shared" si="1"/>
        <v>ż</v>
      </c>
      <c r="H42" t="str">
        <f t="shared" si="2"/>
        <v>ŻOŁĘDZIE</v>
      </c>
      <c r="I42">
        <f t="shared" si="3"/>
        <v>0</v>
      </c>
      <c r="J42">
        <f t="shared" si="4"/>
        <v>0</v>
      </c>
    </row>
    <row r="43" spans="1:10" x14ac:dyDescent="0.25">
      <c r="A43">
        <v>42</v>
      </c>
      <c r="B43" s="1">
        <v>41285</v>
      </c>
      <c r="C43" s="2">
        <f t="shared" si="0"/>
        <v>5</v>
      </c>
      <c r="D43">
        <f t="shared" si="5"/>
        <v>13800</v>
      </c>
      <c r="E43">
        <f t="shared" si="6"/>
        <v>49600</v>
      </c>
      <c r="G43" t="str">
        <f t="shared" si="1"/>
        <v>ż</v>
      </c>
      <c r="H43" t="str">
        <f t="shared" si="2"/>
        <v>ŻOŁĘDZIE</v>
      </c>
      <c r="I43">
        <f t="shared" si="3"/>
        <v>1</v>
      </c>
      <c r="J43">
        <f t="shared" si="4"/>
        <v>0</v>
      </c>
    </row>
    <row r="44" spans="1:10" x14ac:dyDescent="0.25">
      <c r="A44">
        <v>43</v>
      </c>
      <c r="B44" s="1">
        <v>41286</v>
      </c>
      <c r="C44" s="2">
        <f t="shared" si="0"/>
        <v>6</v>
      </c>
      <c r="D44">
        <f t="shared" si="5"/>
        <v>11900</v>
      </c>
      <c r="E44">
        <f t="shared" si="6"/>
        <v>64600</v>
      </c>
      <c r="G44" t="str">
        <f t="shared" si="1"/>
        <v>ś</v>
      </c>
      <c r="H44" t="str">
        <f t="shared" si="2"/>
        <v/>
      </c>
      <c r="I44">
        <f t="shared" si="3"/>
        <v>0</v>
      </c>
      <c r="J44">
        <f t="shared" si="4"/>
        <v>0</v>
      </c>
    </row>
    <row r="45" spans="1:10" x14ac:dyDescent="0.25">
      <c r="A45">
        <v>44</v>
      </c>
      <c r="B45" s="1">
        <v>41287</v>
      </c>
      <c r="C45" s="2">
        <f t="shared" si="0"/>
        <v>7</v>
      </c>
      <c r="D45">
        <f t="shared" si="5"/>
        <v>11900</v>
      </c>
      <c r="E45">
        <f t="shared" si="6"/>
        <v>60800</v>
      </c>
      <c r="G45" t="str">
        <f t="shared" si="1"/>
        <v>ś</v>
      </c>
      <c r="H45" t="str">
        <f t="shared" si="2"/>
        <v/>
      </c>
      <c r="I45">
        <f t="shared" si="3"/>
        <v>0</v>
      </c>
      <c r="J45">
        <f t="shared" si="4"/>
        <v>0</v>
      </c>
    </row>
    <row r="46" spans="1:10" x14ac:dyDescent="0.25">
      <c r="A46">
        <v>45</v>
      </c>
      <c r="B46" s="1">
        <v>41288</v>
      </c>
      <c r="C46" s="2">
        <f t="shared" si="0"/>
        <v>1</v>
      </c>
      <c r="D46">
        <f t="shared" si="5"/>
        <v>11900</v>
      </c>
      <c r="E46">
        <f t="shared" si="6"/>
        <v>57000</v>
      </c>
      <c r="G46" t="str">
        <f t="shared" si="1"/>
        <v>ś</v>
      </c>
      <c r="H46" t="str">
        <f t="shared" si="2"/>
        <v/>
      </c>
      <c r="I46">
        <f t="shared" si="3"/>
        <v>0</v>
      </c>
      <c r="J46">
        <f t="shared" si="4"/>
        <v>0</v>
      </c>
    </row>
    <row r="47" spans="1:10" x14ac:dyDescent="0.25">
      <c r="A47">
        <v>46</v>
      </c>
      <c r="B47" s="1">
        <v>41289</v>
      </c>
      <c r="C47" s="2">
        <f t="shared" si="0"/>
        <v>2</v>
      </c>
      <c r="D47">
        <f t="shared" si="5"/>
        <v>11900</v>
      </c>
      <c r="E47">
        <f t="shared" si="6"/>
        <v>53200</v>
      </c>
      <c r="G47" t="str">
        <f t="shared" si="1"/>
        <v>ś</v>
      </c>
      <c r="H47" t="str">
        <f t="shared" si="2"/>
        <v/>
      </c>
      <c r="I47">
        <f t="shared" si="3"/>
        <v>0</v>
      </c>
      <c r="J47">
        <f t="shared" si="4"/>
        <v>1</v>
      </c>
    </row>
    <row r="48" spans="1:10" x14ac:dyDescent="0.25">
      <c r="A48">
        <v>47</v>
      </c>
      <c r="B48" s="1">
        <v>41290</v>
      </c>
      <c r="C48" s="2">
        <f t="shared" si="0"/>
        <v>3</v>
      </c>
      <c r="D48">
        <f t="shared" si="5"/>
        <v>15900</v>
      </c>
      <c r="E48">
        <f t="shared" si="6"/>
        <v>49400</v>
      </c>
      <c r="G48" t="str">
        <f t="shared" si="1"/>
        <v>ż</v>
      </c>
      <c r="H48" t="str">
        <f t="shared" si="2"/>
        <v>ŻOŁĘDZIE</v>
      </c>
      <c r="I48">
        <f t="shared" si="3"/>
        <v>0</v>
      </c>
      <c r="J48">
        <f t="shared" si="4"/>
        <v>0</v>
      </c>
    </row>
    <row r="49" spans="1:10" x14ac:dyDescent="0.25">
      <c r="A49">
        <v>48</v>
      </c>
      <c r="B49" s="1">
        <v>41291</v>
      </c>
      <c r="C49" s="2">
        <f t="shared" si="0"/>
        <v>4</v>
      </c>
      <c r="D49">
        <f t="shared" si="5"/>
        <v>14000</v>
      </c>
      <c r="E49">
        <f t="shared" si="6"/>
        <v>49400</v>
      </c>
      <c r="G49" t="str">
        <f t="shared" si="1"/>
        <v>ż</v>
      </c>
      <c r="H49" t="str">
        <f t="shared" si="2"/>
        <v>ŻOŁĘDZIE</v>
      </c>
      <c r="I49">
        <f t="shared" si="3"/>
        <v>0</v>
      </c>
      <c r="J49">
        <f t="shared" si="4"/>
        <v>0</v>
      </c>
    </row>
    <row r="50" spans="1:10" x14ac:dyDescent="0.25">
      <c r="A50">
        <v>49</v>
      </c>
      <c r="B50" s="1">
        <v>41292</v>
      </c>
      <c r="C50" s="2">
        <f t="shared" si="0"/>
        <v>5</v>
      </c>
      <c r="D50">
        <f t="shared" si="5"/>
        <v>12100</v>
      </c>
      <c r="E50">
        <f t="shared" si="6"/>
        <v>49400</v>
      </c>
      <c r="G50" t="str">
        <f t="shared" si="1"/>
        <v>ż</v>
      </c>
      <c r="H50" t="str">
        <f t="shared" si="2"/>
        <v>ŻOŁĘDZIE</v>
      </c>
      <c r="I50">
        <f t="shared" si="3"/>
        <v>1</v>
      </c>
      <c r="J50">
        <f t="shared" si="4"/>
        <v>0</v>
      </c>
    </row>
    <row r="51" spans="1:10" x14ac:dyDescent="0.25">
      <c r="A51">
        <v>50</v>
      </c>
      <c r="B51" s="1">
        <v>41293</v>
      </c>
      <c r="C51" s="2">
        <f t="shared" si="0"/>
        <v>6</v>
      </c>
      <c r="D51">
        <f t="shared" si="5"/>
        <v>10200</v>
      </c>
      <c r="E51">
        <f t="shared" si="6"/>
        <v>64400</v>
      </c>
      <c r="G51" t="str">
        <f t="shared" si="1"/>
        <v>ś</v>
      </c>
      <c r="H51" t="str">
        <f t="shared" si="2"/>
        <v/>
      </c>
      <c r="I51">
        <f t="shared" si="3"/>
        <v>0</v>
      </c>
      <c r="J51">
        <f t="shared" si="4"/>
        <v>0</v>
      </c>
    </row>
    <row r="52" spans="1:10" x14ac:dyDescent="0.25">
      <c r="A52">
        <v>51</v>
      </c>
      <c r="B52" s="1">
        <v>41294</v>
      </c>
      <c r="C52" s="2">
        <f t="shared" si="0"/>
        <v>7</v>
      </c>
      <c r="D52">
        <f t="shared" si="5"/>
        <v>10200</v>
      </c>
      <c r="E52">
        <f t="shared" si="6"/>
        <v>60600</v>
      </c>
      <c r="G52" t="str">
        <f t="shared" si="1"/>
        <v>ś</v>
      </c>
      <c r="H52" t="str">
        <f t="shared" si="2"/>
        <v/>
      </c>
      <c r="I52">
        <f t="shared" si="3"/>
        <v>0</v>
      </c>
      <c r="J52">
        <f t="shared" si="4"/>
        <v>0</v>
      </c>
    </row>
    <row r="53" spans="1:10" x14ac:dyDescent="0.25">
      <c r="A53">
        <v>52</v>
      </c>
      <c r="B53" s="1">
        <v>41295</v>
      </c>
      <c r="C53" s="2">
        <f t="shared" si="0"/>
        <v>1</v>
      </c>
      <c r="D53">
        <f t="shared" si="5"/>
        <v>10200</v>
      </c>
      <c r="E53">
        <f t="shared" si="6"/>
        <v>56800</v>
      </c>
      <c r="G53" t="str">
        <f t="shared" si="1"/>
        <v>ś</v>
      </c>
      <c r="H53" t="str">
        <f t="shared" si="2"/>
        <v/>
      </c>
      <c r="I53">
        <f t="shared" si="3"/>
        <v>0</v>
      </c>
      <c r="J53">
        <f t="shared" si="4"/>
        <v>0</v>
      </c>
    </row>
    <row r="54" spans="1:10" x14ac:dyDescent="0.25">
      <c r="A54">
        <v>53</v>
      </c>
      <c r="B54" s="1">
        <v>41296</v>
      </c>
      <c r="C54" s="2">
        <f t="shared" si="0"/>
        <v>2</v>
      </c>
      <c r="D54">
        <f t="shared" si="5"/>
        <v>10200</v>
      </c>
      <c r="E54">
        <f t="shared" si="6"/>
        <v>53000</v>
      </c>
      <c r="G54" t="str">
        <f t="shared" si="1"/>
        <v>ś</v>
      </c>
      <c r="H54" t="str">
        <f t="shared" si="2"/>
        <v/>
      </c>
      <c r="I54">
        <f t="shared" si="3"/>
        <v>0</v>
      </c>
      <c r="J54">
        <f t="shared" si="4"/>
        <v>1</v>
      </c>
    </row>
    <row r="55" spans="1:10" x14ac:dyDescent="0.25">
      <c r="A55">
        <v>54</v>
      </c>
      <c r="B55" s="1">
        <v>41297</v>
      </c>
      <c r="C55" s="2">
        <f t="shared" si="0"/>
        <v>3</v>
      </c>
      <c r="D55">
        <f t="shared" si="5"/>
        <v>14200</v>
      </c>
      <c r="E55">
        <f t="shared" si="6"/>
        <v>49200</v>
      </c>
      <c r="G55" t="str">
        <f t="shared" si="1"/>
        <v>ż</v>
      </c>
      <c r="H55" t="str">
        <f t="shared" si="2"/>
        <v>ŻOŁĘDZIE</v>
      </c>
      <c r="I55">
        <f t="shared" si="3"/>
        <v>0</v>
      </c>
      <c r="J55">
        <f t="shared" si="4"/>
        <v>0</v>
      </c>
    </row>
    <row r="56" spans="1:10" x14ac:dyDescent="0.25">
      <c r="A56">
        <v>55</v>
      </c>
      <c r="B56" s="1">
        <v>41298</v>
      </c>
      <c r="C56" s="2">
        <f t="shared" si="0"/>
        <v>4</v>
      </c>
      <c r="D56">
        <f t="shared" si="5"/>
        <v>12300</v>
      </c>
      <c r="E56">
        <f t="shared" si="6"/>
        <v>49200</v>
      </c>
      <c r="G56" t="str">
        <f t="shared" si="1"/>
        <v>ż</v>
      </c>
      <c r="H56" t="str">
        <f t="shared" si="2"/>
        <v>ŻOŁĘDZIE</v>
      </c>
      <c r="I56">
        <f t="shared" si="3"/>
        <v>0</v>
      </c>
      <c r="J56">
        <f t="shared" si="4"/>
        <v>0</v>
      </c>
    </row>
    <row r="57" spans="1:10" x14ac:dyDescent="0.25">
      <c r="A57">
        <v>56</v>
      </c>
      <c r="B57" s="1">
        <v>41299</v>
      </c>
      <c r="C57" s="2">
        <f t="shared" si="0"/>
        <v>5</v>
      </c>
      <c r="D57">
        <f t="shared" si="5"/>
        <v>10400</v>
      </c>
      <c r="E57">
        <f t="shared" si="6"/>
        <v>49200</v>
      </c>
      <c r="G57" t="str">
        <f t="shared" si="1"/>
        <v>ż</v>
      </c>
      <c r="H57" t="str">
        <f t="shared" si="2"/>
        <v>ŻOŁĘDZIE</v>
      </c>
      <c r="I57">
        <f t="shared" si="3"/>
        <v>1</v>
      </c>
      <c r="J57">
        <f t="shared" si="4"/>
        <v>0</v>
      </c>
    </row>
    <row r="58" spans="1:10" x14ac:dyDescent="0.25">
      <c r="A58">
        <v>57</v>
      </c>
      <c r="B58" s="1">
        <v>41300</v>
      </c>
      <c r="C58" s="2">
        <f t="shared" si="0"/>
        <v>6</v>
      </c>
      <c r="D58">
        <f t="shared" si="5"/>
        <v>8500</v>
      </c>
      <c r="E58">
        <f t="shared" si="6"/>
        <v>64200</v>
      </c>
      <c r="G58" t="str">
        <f t="shared" si="1"/>
        <v>ś</v>
      </c>
      <c r="H58" t="str">
        <f t="shared" si="2"/>
        <v/>
      </c>
      <c r="I58">
        <f t="shared" si="3"/>
        <v>0</v>
      </c>
      <c r="J58">
        <f t="shared" si="4"/>
        <v>0</v>
      </c>
    </row>
    <row r="59" spans="1:10" x14ac:dyDescent="0.25">
      <c r="A59">
        <v>58</v>
      </c>
      <c r="B59" s="1">
        <v>41301</v>
      </c>
      <c r="C59" s="2">
        <f t="shared" si="0"/>
        <v>7</v>
      </c>
      <c r="D59">
        <f t="shared" si="5"/>
        <v>8500</v>
      </c>
      <c r="E59">
        <f t="shared" si="6"/>
        <v>60400</v>
      </c>
      <c r="G59" t="str">
        <f t="shared" si="1"/>
        <v>ś</v>
      </c>
      <c r="H59" t="str">
        <f t="shared" si="2"/>
        <v/>
      </c>
      <c r="I59">
        <f t="shared" si="3"/>
        <v>0</v>
      </c>
      <c r="J59">
        <f t="shared" si="4"/>
        <v>0</v>
      </c>
    </row>
    <row r="60" spans="1:10" x14ac:dyDescent="0.25">
      <c r="A60">
        <v>59</v>
      </c>
      <c r="B60" s="1">
        <v>41302</v>
      </c>
      <c r="C60" s="2">
        <f t="shared" si="0"/>
        <v>1</v>
      </c>
      <c r="D60">
        <f t="shared" si="5"/>
        <v>8500</v>
      </c>
      <c r="E60">
        <f t="shared" si="6"/>
        <v>56600</v>
      </c>
      <c r="G60" t="str">
        <f t="shared" si="1"/>
        <v>ś</v>
      </c>
      <c r="H60" t="str">
        <f t="shared" si="2"/>
        <v/>
      </c>
      <c r="I60">
        <f t="shared" si="3"/>
        <v>0</v>
      </c>
      <c r="J60">
        <f t="shared" si="4"/>
        <v>0</v>
      </c>
    </row>
    <row r="61" spans="1:10" x14ac:dyDescent="0.25">
      <c r="A61">
        <v>60</v>
      </c>
      <c r="B61" s="1">
        <v>41303</v>
      </c>
      <c r="C61" s="2">
        <f t="shared" si="0"/>
        <v>2</v>
      </c>
      <c r="D61">
        <f t="shared" si="5"/>
        <v>8500</v>
      </c>
      <c r="E61">
        <f t="shared" si="6"/>
        <v>52800</v>
      </c>
      <c r="G61" t="str">
        <f t="shared" si="1"/>
        <v>ś</v>
      </c>
      <c r="H61" t="str">
        <f t="shared" si="2"/>
        <v/>
      </c>
      <c r="I61">
        <f t="shared" si="3"/>
        <v>0</v>
      </c>
      <c r="J61">
        <f t="shared" si="4"/>
        <v>1</v>
      </c>
    </row>
    <row r="62" spans="1:10" x14ac:dyDescent="0.25">
      <c r="A62">
        <v>61</v>
      </c>
      <c r="B62" s="1">
        <v>41304</v>
      </c>
      <c r="C62" s="2">
        <f t="shared" si="0"/>
        <v>3</v>
      </c>
      <c r="D62">
        <f t="shared" si="5"/>
        <v>12500</v>
      </c>
      <c r="E62">
        <f t="shared" si="6"/>
        <v>49000</v>
      </c>
      <c r="G62" t="str">
        <f t="shared" si="1"/>
        <v>ż</v>
      </c>
      <c r="H62" t="str">
        <f t="shared" si="2"/>
        <v>ŻOŁĘDZIE</v>
      </c>
      <c r="I62">
        <f t="shared" si="3"/>
        <v>0</v>
      </c>
      <c r="J62">
        <f t="shared" si="4"/>
        <v>0</v>
      </c>
    </row>
    <row r="63" spans="1:10" x14ac:dyDescent="0.25">
      <c r="A63">
        <v>62</v>
      </c>
      <c r="B63" s="1">
        <v>41305</v>
      </c>
      <c r="C63" s="2">
        <f t="shared" si="0"/>
        <v>4</v>
      </c>
      <c r="D63">
        <f t="shared" si="5"/>
        <v>10600</v>
      </c>
      <c r="E63">
        <f t="shared" si="6"/>
        <v>49000</v>
      </c>
      <c r="G63" t="str">
        <f t="shared" si="1"/>
        <v>ż</v>
      </c>
      <c r="H63" t="str">
        <f t="shared" si="2"/>
        <v>ŻOŁĘDZIE</v>
      </c>
      <c r="I63">
        <f t="shared" si="3"/>
        <v>0</v>
      </c>
      <c r="J63">
        <f t="shared" si="4"/>
        <v>0</v>
      </c>
    </row>
    <row r="64" spans="1:10" x14ac:dyDescent="0.25">
      <c r="A64">
        <v>63</v>
      </c>
      <c r="B64" s="1">
        <v>41306</v>
      </c>
      <c r="C64" s="2">
        <f t="shared" si="0"/>
        <v>5</v>
      </c>
      <c r="D64">
        <f t="shared" si="5"/>
        <v>8700</v>
      </c>
      <c r="E64">
        <f t="shared" si="6"/>
        <v>49000</v>
      </c>
      <c r="G64" t="str">
        <f t="shared" si="1"/>
        <v>ż</v>
      </c>
      <c r="H64" t="str">
        <f t="shared" si="2"/>
        <v>ŻOŁĘDZIE</v>
      </c>
      <c r="I64">
        <f t="shared" si="3"/>
        <v>1</v>
      </c>
      <c r="J64">
        <f t="shared" si="4"/>
        <v>0</v>
      </c>
    </row>
    <row r="65" spans="1:10" x14ac:dyDescent="0.25">
      <c r="A65">
        <v>64</v>
      </c>
      <c r="B65" s="1">
        <v>41307</v>
      </c>
      <c r="C65" s="2">
        <f t="shared" si="0"/>
        <v>6</v>
      </c>
      <c r="D65">
        <f t="shared" si="5"/>
        <v>6800</v>
      </c>
      <c r="E65">
        <f t="shared" si="6"/>
        <v>64000</v>
      </c>
      <c r="G65" t="str">
        <f t="shared" si="1"/>
        <v>ś</v>
      </c>
      <c r="H65" t="str">
        <f t="shared" si="2"/>
        <v/>
      </c>
      <c r="I65">
        <f t="shared" si="3"/>
        <v>0</v>
      </c>
      <c r="J65">
        <f t="shared" si="4"/>
        <v>0</v>
      </c>
    </row>
    <row r="66" spans="1:10" x14ac:dyDescent="0.25">
      <c r="A66">
        <v>65</v>
      </c>
      <c r="B66" s="1">
        <v>41308</v>
      </c>
      <c r="C66" s="2">
        <f t="shared" si="0"/>
        <v>7</v>
      </c>
      <c r="D66">
        <f t="shared" si="5"/>
        <v>6800</v>
      </c>
      <c r="E66">
        <f t="shared" si="6"/>
        <v>60200</v>
      </c>
      <c r="G66" t="str">
        <f t="shared" si="1"/>
        <v>ś</v>
      </c>
      <c r="H66" t="str">
        <f t="shared" si="2"/>
        <v/>
      </c>
      <c r="I66">
        <f t="shared" si="3"/>
        <v>0</v>
      </c>
      <c r="J66">
        <f t="shared" si="4"/>
        <v>0</v>
      </c>
    </row>
    <row r="67" spans="1:10" x14ac:dyDescent="0.25">
      <c r="A67">
        <v>66</v>
      </c>
      <c r="B67" s="1">
        <v>41309</v>
      </c>
      <c r="C67" s="2">
        <f t="shared" ref="C67:C91" si="7">WEEKDAY(DATE(YEAR(B67),MONTH(B67),DAY(B67)),2)</f>
        <v>1</v>
      </c>
      <c r="D67">
        <f t="shared" si="5"/>
        <v>6800</v>
      </c>
      <c r="E67">
        <f t="shared" si="6"/>
        <v>56400</v>
      </c>
      <c r="G67" t="str">
        <f t="shared" ref="G67:G91" si="8">IF(E67&gt;=50000,"ś","ż")</f>
        <v>ś</v>
      </c>
      <c r="H67" t="str">
        <f t="shared" ref="H67:H91" si="9">IF(G67="ż", "ŻOŁĘDZIE","")</f>
        <v/>
      </c>
      <c r="I67">
        <f t="shared" ref="I67:I91" si="10">IF(C67=5,1,0)</f>
        <v>0</v>
      </c>
      <c r="J67">
        <f t="shared" ref="J67:J91" si="11">IF(C67=2,1,0)</f>
        <v>0</v>
      </c>
    </row>
    <row r="68" spans="1:10" x14ac:dyDescent="0.25">
      <c r="A68">
        <v>67</v>
      </c>
      <c r="B68" s="1">
        <v>41310</v>
      </c>
      <c r="C68" s="2">
        <f t="shared" si="7"/>
        <v>2</v>
      </c>
      <c r="D68">
        <f t="shared" ref="D68:D91" si="12">IF(C67=2,IF(G67="ż",D67+4000-($F$10), D67+4000),IF(G67="ż",D67-($F$10),D67))</f>
        <v>6800</v>
      </c>
      <c r="E68">
        <f t="shared" ref="E68:E91" si="13">IF(C67=5,IF(G67="ś",E67+15000-($F$8), E67+15000),IF(G67="ś",E67-($F$8),E67))</f>
        <v>52600</v>
      </c>
      <c r="G68" t="str">
        <f t="shared" si="8"/>
        <v>ś</v>
      </c>
      <c r="H68" t="str">
        <f t="shared" si="9"/>
        <v/>
      </c>
      <c r="I68">
        <f t="shared" si="10"/>
        <v>0</v>
      </c>
      <c r="J68">
        <f t="shared" si="11"/>
        <v>1</v>
      </c>
    </row>
    <row r="69" spans="1:10" x14ac:dyDescent="0.25">
      <c r="A69">
        <v>68</v>
      </c>
      <c r="B69" s="1">
        <v>41311</v>
      </c>
      <c r="C69" s="2">
        <f t="shared" si="7"/>
        <v>3</v>
      </c>
      <c r="D69">
        <f t="shared" si="12"/>
        <v>10800</v>
      </c>
      <c r="E69">
        <f t="shared" si="13"/>
        <v>48800</v>
      </c>
      <c r="G69" t="str">
        <f t="shared" si="8"/>
        <v>ż</v>
      </c>
      <c r="H69" t="str">
        <f t="shared" si="9"/>
        <v>ŻOŁĘDZIE</v>
      </c>
      <c r="I69">
        <f t="shared" si="10"/>
        <v>0</v>
      </c>
      <c r="J69">
        <f t="shared" si="11"/>
        <v>0</v>
      </c>
    </row>
    <row r="70" spans="1:10" x14ac:dyDescent="0.25">
      <c r="A70">
        <v>69</v>
      </c>
      <c r="B70" s="1">
        <v>41312</v>
      </c>
      <c r="C70" s="2">
        <f t="shared" si="7"/>
        <v>4</v>
      </c>
      <c r="D70">
        <f t="shared" si="12"/>
        <v>8900</v>
      </c>
      <c r="E70">
        <f t="shared" si="13"/>
        <v>48800</v>
      </c>
      <c r="G70" t="str">
        <f t="shared" si="8"/>
        <v>ż</v>
      </c>
      <c r="H70" t="str">
        <f t="shared" si="9"/>
        <v>ŻOŁĘDZIE</v>
      </c>
      <c r="I70">
        <f t="shared" si="10"/>
        <v>0</v>
      </c>
      <c r="J70">
        <f t="shared" si="11"/>
        <v>0</v>
      </c>
    </row>
    <row r="71" spans="1:10" x14ac:dyDescent="0.25">
      <c r="A71">
        <v>70</v>
      </c>
      <c r="B71" s="1">
        <v>41313</v>
      </c>
      <c r="C71" s="2">
        <f t="shared" si="7"/>
        <v>5</v>
      </c>
      <c r="D71">
        <f t="shared" si="12"/>
        <v>7000</v>
      </c>
      <c r="E71">
        <f t="shared" si="13"/>
        <v>48800</v>
      </c>
      <c r="G71" t="str">
        <f t="shared" si="8"/>
        <v>ż</v>
      </c>
      <c r="H71" t="str">
        <f t="shared" si="9"/>
        <v>ŻOŁĘDZIE</v>
      </c>
      <c r="I71">
        <f t="shared" si="10"/>
        <v>1</v>
      </c>
      <c r="J71">
        <f t="shared" si="11"/>
        <v>0</v>
      </c>
    </row>
    <row r="72" spans="1:10" x14ac:dyDescent="0.25">
      <c r="A72">
        <v>71</v>
      </c>
      <c r="B72" s="1">
        <v>41314</v>
      </c>
      <c r="C72" s="2">
        <f t="shared" si="7"/>
        <v>6</v>
      </c>
      <c r="D72">
        <f t="shared" si="12"/>
        <v>5100</v>
      </c>
      <c r="E72">
        <f t="shared" si="13"/>
        <v>63800</v>
      </c>
      <c r="G72" t="str">
        <f t="shared" si="8"/>
        <v>ś</v>
      </c>
      <c r="H72" t="str">
        <f t="shared" si="9"/>
        <v/>
      </c>
      <c r="I72">
        <f t="shared" si="10"/>
        <v>0</v>
      </c>
      <c r="J72">
        <f t="shared" si="11"/>
        <v>0</v>
      </c>
    </row>
    <row r="73" spans="1:10" x14ac:dyDescent="0.25">
      <c r="A73">
        <v>72</v>
      </c>
      <c r="B73" s="1">
        <v>41315</v>
      </c>
      <c r="C73" s="2">
        <f t="shared" si="7"/>
        <v>7</v>
      </c>
      <c r="D73">
        <f t="shared" si="12"/>
        <v>5100</v>
      </c>
      <c r="E73">
        <f t="shared" si="13"/>
        <v>60000</v>
      </c>
      <c r="G73" t="str">
        <f t="shared" si="8"/>
        <v>ś</v>
      </c>
      <c r="H73" t="str">
        <f t="shared" si="9"/>
        <v/>
      </c>
      <c r="I73">
        <f t="shared" si="10"/>
        <v>0</v>
      </c>
      <c r="J73">
        <f t="shared" si="11"/>
        <v>0</v>
      </c>
    </row>
    <row r="74" spans="1:10" x14ac:dyDescent="0.25">
      <c r="A74">
        <v>73</v>
      </c>
      <c r="B74" s="1">
        <v>41316</v>
      </c>
      <c r="C74" s="2">
        <f t="shared" si="7"/>
        <v>1</v>
      </c>
      <c r="D74">
        <f t="shared" si="12"/>
        <v>5100</v>
      </c>
      <c r="E74">
        <f t="shared" si="13"/>
        <v>56200</v>
      </c>
      <c r="G74" t="str">
        <f t="shared" si="8"/>
        <v>ś</v>
      </c>
      <c r="H74" t="str">
        <f t="shared" si="9"/>
        <v/>
      </c>
      <c r="I74">
        <f t="shared" si="10"/>
        <v>0</v>
      </c>
      <c r="J74">
        <f t="shared" si="11"/>
        <v>0</v>
      </c>
    </row>
    <row r="75" spans="1:10" x14ac:dyDescent="0.25">
      <c r="A75">
        <v>74</v>
      </c>
      <c r="B75" s="1">
        <v>41317</v>
      </c>
      <c r="C75" s="2">
        <f t="shared" si="7"/>
        <v>2</v>
      </c>
      <c r="D75">
        <f t="shared" si="12"/>
        <v>5100</v>
      </c>
      <c r="E75">
        <f t="shared" si="13"/>
        <v>52400</v>
      </c>
      <c r="G75" t="str">
        <f t="shared" si="8"/>
        <v>ś</v>
      </c>
      <c r="H75" t="str">
        <f t="shared" si="9"/>
        <v/>
      </c>
      <c r="I75">
        <f t="shared" si="10"/>
        <v>0</v>
      </c>
      <c r="J75">
        <f t="shared" si="11"/>
        <v>1</v>
      </c>
    </row>
    <row r="76" spans="1:10" x14ac:dyDescent="0.25">
      <c r="A76">
        <v>75</v>
      </c>
      <c r="B76" s="1">
        <v>41318</v>
      </c>
      <c r="C76" s="2">
        <f t="shared" si="7"/>
        <v>3</v>
      </c>
      <c r="D76">
        <f t="shared" si="12"/>
        <v>9100</v>
      </c>
      <c r="E76">
        <f t="shared" si="13"/>
        <v>48600</v>
      </c>
      <c r="G76" t="str">
        <f t="shared" si="8"/>
        <v>ż</v>
      </c>
      <c r="H76" t="str">
        <f t="shared" si="9"/>
        <v>ŻOŁĘDZIE</v>
      </c>
      <c r="I76">
        <f t="shared" si="10"/>
        <v>0</v>
      </c>
      <c r="J76">
        <f t="shared" si="11"/>
        <v>0</v>
      </c>
    </row>
    <row r="77" spans="1:10" x14ac:dyDescent="0.25">
      <c r="A77">
        <v>76</v>
      </c>
      <c r="B77" s="1">
        <v>41319</v>
      </c>
      <c r="C77" s="2">
        <f t="shared" si="7"/>
        <v>4</v>
      </c>
      <c r="D77">
        <f t="shared" si="12"/>
        <v>7200</v>
      </c>
      <c r="E77">
        <f t="shared" si="13"/>
        <v>48600</v>
      </c>
      <c r="G77" t="str">
        <f t="shared" si="8"/>
        <v>ż</v>
      </c>
      <c r="H77" t="str">
        <f t="shared" si="9"/>
        <v>ŻOŁĘDZIE</v>
      </c>
      <c r="I77">
        <f t="shared" si="10"/>
        <v>0</v>
      </c>
      <c r="J77">
        <f t="shared" si="11"/>
        <v>0</v>
      </c>
    </row>
    <row r="78" spans="1:10" x14ac:dyDescent="0.25">
      <c r="A78">
        <v>77</v>
      </c>
      <c r="B78" s="1">
        <v>41320</v>
      </c>
      <c r="C78" s="2">
        <f t="shared" si="7"/>
        <v>5</v>
      </c>
      <c r="D78">
        <f t="shared" si="12"/>
        <v>5300</v>
      </c>
      <c r="E78">
        <f t="shared" si="13"/>
        <v>48600</v>
      </c>
      <c r="G78" t="str">
        <f t="shared" si="8"/>
        <v>ż</v>
      </c>
      <c r="H78" t="str">
        <f t="shared" si="9"/>
        <v>ŻOŁĘDZIE</v>
      </c>
      <c r="I78">
        <f t="shared" si="10"/>
        <v>1</v>
      </c>
      <c r="J78">
        <f t="shared" si="11"/>
        <v>0</v>
      </c>
    </row>
    <row r="79" spans="1:10" x14ac:dyDescent="0.25">
      <c r="A79">
        <v>78</v>
      </c>
      <c r="B79" s="1">
        <v>41321</v>
      </c>
      <c r="C79" s="2">
        <f t="shared" si="7"/>
        <v>6</v>
      </c>
      <c r="D79">
        <f t="shared" si="12"/>
        <v>3400</v>
      </c>
      <c r="E79">
        <f t="shared" si="13"/>
        <v>63600</v>
      </c>
      <c r="G79" t="str">
        <f t="shared" si="8"/>
        <v>ś</v>
      </c>
      <c r="H79" t="str">
        <f t="shared" si="9"/>
        <v/>
      </c>
      <c r="I79">
        <f t="shared" si="10"/>
        <v>0</v>
      </c>
      <c r="J79">
        <f t="shared" si="11"/>
        <v>0</v>
      </c>
    </row>
    <row r="80" spans="1:10" x14ac:dyDescent="0.25">
      <c r="A80">
        <v>79</v>
      </c>
      <c r="B80" s="1">
        <v>41322</v>
      </c>
      <c r="C80" s="2">
        <f t="shared" si="7"/>
        <v>7</v>
      </c>
      <c r="D80">
        <f t="shared" si="12"/>
        <v>3400</v>
      </c>
      <c r="E80">
        <f t="shared" si="13"/>
        <v>59800</v>
      </c>
      <c r="G80" t="str">
        <f t="shared" si="8"/>
        <v>ś</v>
      </c>
      <c r="H80" t="str">
        <f t="shared" si="9"/>
        <v/>
      </c>
      <c r="I80">
        <f t="shared" si="10"/>
        <v>0</v>
      </c>
      <c r="J80">
        <f t="shared" si="11"/>
        <v>0</v>
      </c>
    </row>
    <row r="81" spans="1:10" x14ac:dyDescent="0.25">
      <c r="A81">
        <v>80</v>
      </c>
      <c r="B81" s="1">
        <v>41323</v>
      </c>
      <c r="C81" s="2">
        <f t="shared" si="7"/>
        <v>1</v>
      </c>
      <c r="D81">
        <f t="shared" si="12"/>
        <v>3400</v>
      </c>
      <c r="E81">
        <f t="shared" si="13"/>
        <v>56000</v>
      </c>
      <c r="G81" t="str">
        <f t="shared" si="8"/>
        <v>ś</v>
      </c>
      <c r="H81" t="str">
        <f t="shared" si="9"/>
        <v/>
      </c>
      <c r="I81">
        <f t="shared" si="10"/>
        <v>0</v>
      </c>
      <c r="J81">
        <f t="shared" si="11"/>
        <v>0</v>
      </c>
    </row>
    <row r="82" spans="1:10" x14ac:dyDescent="0.25">
      <c r="A82">
        <v>81</v>
      </c>
      <c r="B82" s="1">
        <v>41324</v>
      </c>
      <c r="C82" s="2">
        <f t="shared" si="7"/>
        <v>2</v>
      </c>
      <c r="D82">
        <f t="shared" si="12"/>
        <v>3400</v>
      </c>
      <c r="E82">
        <f t="shared" si="13"/>
        <v>52200</v>
      </c>
      <c r="G82" t="str">
        <f t="shared" si="8"/>
        <v>ś</v>
      </c>
      <c r="H82" t="str">
        <f t="shared" si="9"/>
        <v/>
      </c>
      <c r="I82">
        <f t="shared" si="10"/>
        <v>0</v>
      </c>
      <c r="J82">
        <f t="shared" si="11"/>
        <v>1</v>
      </c>
    </row>
    <row r="83" spans="1:10" x14ac:dyDescent="0.25">
      <c r="A83">
        <v>82</v>
      </c>
      <c r="B83" s="1">
        <v>41325</v>
      </c>
      <c r="C83" s="2">
        <f t="shared" si="7"/>
        <v>3</v>
      </c>
      <c r="D83">
        <f t="shared" si="12"/>
        <v>7400</v>
      </c>
      <c r="E83">
        <f t="shared" si="13"/>
        <v>48400</v>
      </c>
      <c r="G83" t="str">
        <f t="shared" si="8"/>
        <v>ż</v>
      </c>
      <c r="H83" t="str">
        <f t="shared" si="9"/>
        <v>ŻOŁĘDZIE</v>
      </c>
      <c r="I83">
        <f t="shared" si="10"/>
        <v>0</v>
      </c>
      <c r="J83">
        <f t="shared" si="11"/>
        <v>0</v>
      </c>
    </row>
    <row r="84" spans="1:10" x14ac:dyDescent="0.25">
      <c r="A84">
        <v>83</v>
      </c>
      <c r="B84" s="1">
        <v>41326</v>
      </c>
      <c r="C84" s="2">
        <f t="shared" si="7"/>
        <v>4</v>
      </c>
      <c r="D84">
        <f t="shared" si="12"/>
        <v>5500</v>
      </c>
      <c r="E84">
        <f t="shared" si="13"/>
        <v>48400</v>
      </c>
      <c r="G84" t="str">
        <f t="shared" si="8"/>
        <v>ż</v>
      </c>
      <c r="H84" t="str">
        <f t="shared" si="9"/>
        <v>ŻOŁĘDZIE</v>
      </c>
      <c r="I84">
        <f t="shared" si="10"/>
        <v>0</v>
      </c>
      <c r="J84">
        <f t="shared" si="11"/>
        <v>0</v>
      </c>
    </row>
    <row r="85" spans="1:10" x14ac:dyDescent="0.25">
      <c r="A85">
        <v>84</v>
      </c>
      <c r="B85" s="1">
        <v>41327</v>
      </c>
      <c r="C85" s="2">
        <f t="shared" si="7"/>
        <v>5</v>
      </c>
      <c r="D85">
        <f t="shared" si="12"/>
        <v>3600</v>
      </c>
      <c r="E85">
        <f t="shared" si="13"/>
        <v>48400</v>
      </c>
      <c r="G85" t="str">
        <f t="shared" si="8"/>
        <v>ż</v>
      </c>
      <c r="H85" t="str">
        <f t="shared" si="9"/>
        <v>ŻOŁĘDZIE</v>
      </c>
      <c r="I85">
        <f t="shared" si="10"/>
        <v>1</v>
      </c>
      <c r="J85">
        <f t="shared" si="11"/>
        <v>0</v>
      </c>
    </row>
    <row r="86" spans="1:10" x14ac:dyDescent="0.25">
      <c r="A86">
        <v>85</v>
      </c>
      <c r="B86" s="1">
        <v>41328</v>
      </c>
      <c r="C86" s="2">
        <f t="shared" si="7"/>
        <v>6</v>
      </c>
      <c r="D86">
        <f t="shared" si="12"/>
        <v>1700</v>
      </c>
      <c r="E86">
        <f t="shared" si="13"/>
        <v>63400</v>
      </c>
      <c r="G86" t="str">
        <f t="shared" si="8"/>
        <v>ś</v>
      </c>
      <c r="H86" t="str">
        <f t="shared" si="9"/>
        <v/>
      </c>
      <c r="I86">
        <f t="shared" si="10"/>
        <v>0</v>
      </c>
      <c r="J86">
        <f t="shared" si="11"/>
        <v>0</v>
      </c>
    </row>
    <row r="87" spans="1:10" x14ac:dyDescent="0.25">
      <c r="A87">
        <v>86</v>
      </c>
      <c r="B87" s="1">
        <v>41329</v>
      </c>
      <c r="C87" s="2">
        <f t="shared" si="7"/>
        <v>7</v>
      </c>
      <c r="D87">
        <f t="shared" si="12"/>
        <v>1700</v>
      </c>
      <c r="E87">
        <f t="shared" si="13"/>
        <v>59600</v>
      </c>
      <c r="G87" t="str">
        <f t="shared" si="8"/>
        <v>ś</v>
      </c>
      <c r="H87" t="str">
        <f t="shared" si="9"/>
        <v/>
      </c>
      <c r="I87">
        <f t="shared" si="10"/>
        <v>0</v>
      </c>
      <c r="J87">
        <f t="shared" si="11"/>
        <v>0</v>
      </c>
    </row>
    <row r="88" spans="1:10" x14ac:dyDescent="0.25">
      <c r="A88">
        <v>87</v>
      </c>
      <c r="B88" s="1">
        <v>41330</v>
      </c>
      <c r="C88" s="2">
        <f t="shared" si="7"/>
        <v>1</v>
      </c>
      <c r="D88">
        <f t="shared" si="12"/>
        <v>1700</v>
      </c>
      <c r="E88">
        <f t="shared" si="13"/>
        <v>55800</v>
      </c>
      <c r="G88" t="str">
        <f t="shared" si="8"/>
        <v>ś</v>
      </c>
      <c r="H88" t="str">
        <f t="shared" si="9"/>
        <v/>
      </c>
      <c r="I88">
        <f t="shared" si="10"/>
        <v>0</v>
      </c>
      <c r="J88">
        <f t="shared" si="11"/>
        <v>0</v>
      </c>
    </row>
    <row r="89" spans="1:10" x14ac:dyDescent="0.25">
      <c r="A89">
        <v>88</v>
      </c>
      <c r="B89" s="1">
        <v>41331</v>
      </c>
      <c r="C89" s="2">
        <f t="shared" si="7"/>
        <v>2</v>
      </c>
      <c r="D89">
        <f t="shared" si="12"/>
        <v>1700</v>
      </c>
      <c r="E89">
        <f t="shared" si="13"/>
        <v>52000</v>
      </c>
      <c r="G89" t="str">
        <f t="shared" si="8"/>
        <v>ś</v>
      </c>
      <c r="H89" t="str">
        <f t="shared" si="9"/>
        <v/>
      </c>
      <c r="I89">
        <f t="shared" si="10"/>
        <v>0</v>
      </c>
      <c r="J89">
        <f t="shared" si="11"/>
        <v>1</v>
      </c>
    </row>
    <row r="90" spans="1:10" x14ac:dyDescent="0.25">
      <c r="A90">
        <v>89</v>
      </c>
      <c r="B90" s="1">
        <v>41332</v>
      </c>
      <c r="C90" s="2">
        <f t="shared" si="7"/>
        <v>3</v>
      </c>
      <c r="D90">
        <f t="shared" si="12"/>
        <v>5700</v>
      </c>
      <c r="E90">
        <f t="shared" si="13"/>
        <v>48200</v>
      </c>
      <c r="G90" t="str">
        <f t="shared" si="8"/>
        <v>ż</v>
      </c>
      <c r="H90" t="str">
        <f t="shared" si="9"/>
        <v>ŻOŁĘDZIE</v>
      </c>
      <c r="I90">
        <f t="shared" si="10"/>
        <v>0</v>
      </c>
      <c r="J90">
        <f t="shared" si="11"/>
        <v>0</v>
      </c>
    </row>
    <row r="91" spans="1:10" x14ac:dyDescent="0.25">
      <c r="A91">
        <v>90</v>
      </c>
      <c r="B91" s="1">
        <v>41333</v>
      </c>
      <c r="C91" s="2">
        <f t="shared" si="7"/>
        <v>4</v>
      </c>
      <c r="D91">
        <f t="shared" si="12"/>
        <v>3800</v>
      </c>
      <c r="E91">
        <f t="shared" si="13"/>
        <v>48200</v>
      </c>
      <c r="G91" t="str">
        <f t="shared" si="8"/>
        <v>ż</v>
      </c>
      <c r="H91" t="str">
        <f t="shared" si="9"/>
        <v>ŻOŁĘDZIE</v>
      </c>
      <c r="I91">
        <f t="shared" si="10"/>
        <v>0</v>
      </c>
      <c r="J91">
        <f t="shared" si="11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szefitek</dc:creator>
  <cp:lastModifiedBy>szefitek</cp:lastModifiedBy>
  <dcterms:created xsi:type="dcterms:W3CDTF">2026-04-17T16:33:54Z</dcterms:created>
  <dcterms:modified xsi:type="dcterms:W3CDTF">2026-04-17T18:12:57Z</dcterms:modified>
</cp:coreProperties>
</file>