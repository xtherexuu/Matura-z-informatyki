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efitek\Documents\matura2013\Maj\Poziom podstawowy\"/>
    </mc:Choice>
  </mc:AlternateContent>
  <xr:revisionPtr revIDLastSave="0" documentId="13_ncr:1_{982C9DB3-6A83-458C-8AA0-32C1ED944F40}" xr6:coauthVersionLast="47" xr6:coauthVersionMax="47" xr10:uidLastSave="{00000000-0000-0000-0000-000000000000}"/>
  <bookViews>
    <workbookView xWindow="6270" yWindow="1995" windowWidth="12930" windowHeight="14160" xr2:uid="{6A0E9EA5-602B-4CC7-91C1-44C15F240C83}"/>
  </bookViews>
  <sheets>
    <sheet name="Arkusz1" sheetId="1" r:id="rId1"/>
  </sheets>
  <definedNames>
    <definedName name="historia" localSheetId="0">Arkusz1!$A$2:$M$252</definedName>
    <definedName name="zestawienie6d_1" localSheetId="0">Arkusz1!$T$2:$AE$4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V4" i="1"/>
  <c r="W4" i="1"/>
  <c r="X4" i="1"/>
  <c r="Y4" i="1"/>
  <c r="Z4" i="1"/>
  <c r="AA4" i="1"/>
  <c r="AB4" i="1"/>
  <c r="AC4" i="1"/>
  <c r="AD4" i="1"/>
  <c r="AE4" i="1"/>
  <c r="T4" i="1"/>
  <c r="U3" i="1"/>
  <c r="V3" i="1"/>
  <c r="W3" i="1"/>
  <c r="X3" i="1"/>
  <c r="Y3" i="1"/>
  <c r="Z3" i="1"/>
  <c r="AA3" i="1"/>
  <c r="AB3" i="1"/>
  <c r="AC3" i="1"/>
  <c r="AD3" i="1"/>
  <c r="AE3" i="1"/>
  <c r="T3" i="1"/>
  <c r="Q2" i="1"/>
  <c r="Q4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" i="1"/>
  <c r="C253" i="1"/>
  <c r="D253" i="1"/>
  <c r="E253" i="1"/>
  <c r="F253" i="1"/>
  <c r="G253" i="1"/>
  <c r="H253" i="1"/>
  <c r="I253" i="1"/>
  <c r="J253" i="1"/>
  <c r="K253" i="1"/>
  <c r="L253" i="1"/>
  <c r="M253" i="1"/>
  <c r="B253" i="1"/>
  <c r="N253" i="1" l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F52D99-9AFE-485D-B9BD-7B39AAE5AA72}" name="historia" type="6" refreshedVersion="8" background="1" saveData="1">
    <textPr codePage="852" sourceFile="C:\Users\szefitek\Documents\matura2013\Maj\Poziom podstawowy\Dane\historia.txt" decimal="," thousands=" " tab="0" semicolon="1">
      <textFields count="1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D27FE18-932C-4C73-B7B2-6028055A20F1}" name="zestawienie6d" type="6" refreshedVersion="8" background="1" saveData="1">
    <textPr codePage="852" sourceFile="C:\Users\szefitek\Documents\matura2013\Maj\Poziom podstawowy\zestawienie6d.txt" thousands=" 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<sst xmlns="http://schemas.openxmlformats.org/spreadsheetml/2006/main" count="284" uniqueCount="284">
  <si>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</si>
  <si>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</si>
  <si>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</si>
  <si>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</si>
  <si>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</si>
  <si>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</si>
  <si>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</si>
  <si>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</si>
  <si>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</si>
  <si>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</si>
  <si>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</si>
  <si>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</si>
  <si>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</si>
  <si>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</si>
  <si>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</si>
  <si>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</si>
  <si>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</si>
  <si>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</si>
  <si>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</si>
  <si>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</si>
  <si>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</si>
  <si>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</si>
  <si>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</si>
  <si>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</si>
  <si>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</si>
  <si>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</si>
  <si>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</si>
  <si>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</si>
  <si>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</si>
  <si>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</si>
  <si>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</si>
  <si>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</si>
  <si>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</si>
  <si>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</si>
  <si>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</si>
  <si>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</si>
  <si>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</si>
  <si>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</si>
  <si>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</si>
  <si>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</si>
  <si>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</si>
  <si>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</si>
  <si>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</si>
  <si>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</si>
  <si>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</si>
  <si>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</si>
  <si>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</si>
  <si>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</si>
  <si>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</si>
  <si>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</si>
  <si>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</si>
  <si>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</si>
  <si>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</si>
  <si>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</si>
  <si>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</si>
  <si>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</si>
  <si>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</si>
  <si>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</si>
  <si>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</si>
  <si>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</si>
  <si>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</si>
  <si>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</si>
  <si>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</si>
  <si>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</si>
  <si>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</si>
  <si>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</si>
  <si>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</si>
  <si>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</si>
  <si>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</si>
  <si>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</si>
  <si>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</si>
  <si>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</si>
  <si>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</si>
  <si>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</si>
  <si>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</si>
  <si>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</si>
  <si>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</si>
  <si>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</si>
  <si>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</si>
  <si>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</si>
  <si>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</si>
  <si>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</si>
  <si>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</si>
  <si>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</si>
  <si>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</si>
  <si>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</si>
  <si>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</si>
  <si>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</si>
  <si>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</si>
  <si>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</si>
  <si>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</si>
  <si>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</si>
  <si>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</si>
  <si>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</si>
  <si>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</si>
  <si>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</si>
  <si>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</si>
  <si>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</si>
  <si>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</si>
  <si>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</si>
  <si>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</si>
  <si>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</si>
  <si>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</si>
  <si>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</si>
  <si>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</si>
  <si>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</si>
  <si>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</si>
  <si>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</si>
  <si>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</si>
  <si>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</si>
  <si>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</si>
  <si>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</si>
  <si>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</si>
  <si>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</si>
  <si>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</si>
  <si>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</si>
  <si>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</si>
  <si>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</si>
  <si>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</si>
  <si>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</si>
  <si>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</si>
  <si>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</si>
  <si>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</si>
  <si>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</si>
  <si>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</si>
  <si>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</si>
  <si>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</si>
  <si>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</si>
  <si>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</si>
  <si>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</si>
  <si>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</si>
  <si>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</si>
  <si>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</si>
  <si>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</si>
  <si>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</si>
  <si>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</si>
  <si>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</si>
  <si>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</si>
  <si>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</si>
  <si>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</si>
  <si>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</si>
  <si>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</si>
  <si>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</si>
  <si>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</si>
  <si>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</si>
  <si>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</si>
  <si>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</si>
  <si>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</si>
  <si>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</si>
  <si>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</si>
  <si>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</si>
  <si>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</si>
  <si>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</si>
  <si>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</si>
  <si>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</si>
  <si>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</si>
  <si>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</si>
  <si>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</si>
  <si>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</si>
  <si>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</si>
  <si>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</si>
  <si>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</si>
  <si>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</si>
  <si>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</si>
  <si>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</si>
  <si>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</si>
  <si>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</si>
  <si>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</si>
  <si>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</si>
  <si>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</si>
  <si>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</si>
  <si>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</si>
  <si>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</si>
  <si>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</si>
  <si>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</si>
  <si>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</si>
  <si>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</si>
  <si>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</si>
  <si>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</si>
  <si>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</si>
  <si>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</si>
  <si>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</si>
  <si>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</si>
  <si>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</si>
  <si>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</si>
  <si>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</si>
  <si>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</si>
  <si>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</si>
  <si>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</si>
  <si>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</si>
  <si>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</si>
  <si>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</si>
  <si>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</si>
  <si>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</si>
  <si>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</si>
  <si>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</si>
  <si>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</si>
  <si>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</si>
  <si>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</si>
  <si>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</si>
  <si>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</si>
  <si>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</si>
  <si>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</si>
  <si>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</si>
  <si>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</si>
  <si>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</si>
  <si>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</si>
  <si>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</si>
  <si>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</si>
  <si>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</si>
  <si>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</si>
  <si>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</si>
  <si>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</si>
  <si>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</si>
  <si>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</si>
  <si>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</si>
  <si>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</si>
  <si>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</si>
  <si>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</si>
  <si>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</si>
  <si>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</si>
  <si>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</si>
  <si>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</si>
  <si>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</si>
  <si>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</si>
  <si>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</si>
  <si>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</si>
  <si>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</si>
  <si>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</si>
  <si>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</si>
  <si>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</si>
  <si>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</si>
  <si>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</si>
  <si>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</si>
  <si>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</si>
  <si>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</si>
  <si>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</si>
  <si>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</si>
  <si>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</si>
  <si>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</si>
  <si>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</si>
  <si>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</si>
  <si>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</si>
  <si>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</si>
  <si>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</si>
  <si>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</si>
  <si>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</si>
  <si>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</si>
  <si>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</si>
  <si>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</si>
  <si>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</si>
  <si>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Dzień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</si>
  <si>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</si>
  <si>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</si>
  <si>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</si>
  <si>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</si>
  <si>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</si>
  <si>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</si>
  <si>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</si>
  <si>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</si>
  <si>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</si>
  <si>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</si>
  <si>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</si>
  <si>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</si>
  <si>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średnia cena z całego roku</t>
  </si>
  <si>
    <t>łączna suma</t>
  </si>
  <si>
    <t>średnia</t>
  </si>
  <si>
    <t>ile dni z łącznymi stawkami większymi od 33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</si>
  <si>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</si>
  <si>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</si>
  <si>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</si>
  <si>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</si>
  <si>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</si>
  <si>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</si>
  <si>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</si>
  <si>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</si>
  <si>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</si>
  <si>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</si>
  <si>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</si>
  <si>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min</t>
  </si>
  <si>
    <t>max</t>
  </si>
  <si>
    <t>A</t>
  </si>
  <si>
    <t>Występuje tyle razy:</t>
  </si>
  <si>
    <t>Cena występująca najczęściej: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</si>
</sst>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Najwyższa i najniższa cena jednostki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Arkusz1!$S$3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Arkusz1!$T$2:$AE$2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Arkusz1!$T$3:$AE$3</c:f>
              <c:numCache>
                <c:formatCode>General</c:formatCode>
                <c:ptCount val="12"/>
                <c:pt idx="0">
                  <c:v>50.9</c:v>
                </c:pt>
                <c:pt idx="1">
                  <c:v>51.62</c:v>
                </c:pt>
                <c:pt idx="2">
                  <c:v>53.12</c:v>
                </c:pt>
                <c:pt idx="3">
                  <c:v>58.66</c:v>
                </c:pt>
                <c:pt idx="4">
                  <c:v>58.96</c:v>
                </c:pt>
                <c:pt idx="5">
                  <c:v>59.26</c:v>
                </c:pt>
                <c:pt idx="6">
                  <c:v>48.15</c:v>
                </c:pt>
                <c:pt idx="7">
                  <c:v>48.17</c:v>
                </c:pt>
                <c:pt idx="8">
                  <c:v>48.19</c:v>
                </c:pt>
                <c:pt idx="9">
                  <c:v>50.23</c:v>
                </c:pt>
                <c:pt idx="10">
                  <c:v>50.23</c:v>
                </c:pt>
                <c:pt idx="11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1-4128-B2BD-F7DFE581C9D8}"/>
            </c:ext>
          </c:extLst>
        </c:ser>
        <c:ser>
          <c:idx val="1"/>
          <c:order val="1"/>
          <c:tx>
            <c:strRef>
              <c:f>Arkusz1!$S$4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Arkusz1!$T$2:$AE$2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Arkusz1!$T$4:$AE$4</c:f>
              <c:numCache>
                <c:formatCode>General</c:formatCode>
                <c:ptCount val="12"/>
                <c:pt idx="0">
                  <c:v>20.82</c:v>
                </c:pt>
                <c:pt idx="1">
                  <c:v>21.21</c:v>
                </c:pt>
                <c:pt idx="2">
                  <c:v>21.92</c:v>
                </c:pt>
                <c:pt idx="3">
                  <c:v>18.760000000000002</c:v>
                </c:pt>
                <c:pt idx="4">
                  <c:v>18.940000000000001</c:v>
                </c:pt>
                <c:pt idx="5">
                  <c:v>19.12</c:v>
                </c:pt>
                <c:pt idx="6">
                  <c:v>16.04</c:v>
                </c:pt>
                <c:pt idx="7">
                  <c:v>16.079999999999998</c:v>
                </c:pt>
                <c:pt idx="8">
                  <c:v>16.12</c:v>
                </c:pt>
                <c:pt idx="9">
                  <c:v>20.329999999999998</c:v>
                </c:pt>
                <c:pt idx="10">
                  <c:v>20.41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A1-4128-B2BD-F7DFE581C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405503"/>
        <c:axId val="1494430463"/>
      </c:lineChart>
      <c:catAx>
        <c:axId val="149440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Fundusz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430463"/>
        <c:crosses val="autoZero"/>
        <c:auto val="1"/>
        <c:lblAlgn val="ctr"/>
        <c:lblOffset val="100"/>
        <c:noMultiLvlLbl val="0"/>
      </c:catAx>
      <c:valAx>
        <c:axId val="149443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Cena jednostki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9440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6</xdr:row>
      <xdr:rowOff>119062</xdr:rowOff>
    </xdr:from>
    <xdr:to>
      <xdr:col>28</xdr:col>
      <xdr:colOff>333375</xdr:colOff>
      <xdr:row>21</xdr:row>
      <xdr:rowOff>4762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842FB5D-8E36-2791-0A95-5644F42FA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estawienie6d_1" connectionId="2" xr16:uid="{12ACEAD9-A17B-4D0C-AB62-EFEFE2FA54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storia" connectionId="1" xr16:uid="{C67BCB11-8FFD-4860-954E-BA17A60EBF3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1A81-3DA1-4F7C-8C42-76F58B1322CB}">
  <dimension ref="A1:AE253"/>
  <sheetViews>
    <sheetView tabSelected="1" zoomScale="55" zoomScaleNormal="55" workbookViewId="0">
      <selection activeCell="P246" sqref="P246"/>
    </sheetView>
  </sheetViews>
  <sheetFormatPr defaultRowHeight="15" x14ac:dyDescent="0.25"/>
  <cols>
    <col min="1" max="1" width="27.28515625" customWidth="1"/>
    <col min="2" max="2" width="8" customWidth="1"/>
    <col min="3" max="3" width="7.5703125" customWidth="1"/>
    <col min="4" max="4" width="8" customWidth="1"/>
    <col min="5" max="6" width="8.140625" customWidth="1"/>
    <col min="7" max="7" width="9.7109375" customWidth="1"/>
    <col min="8" max="8" width="7.5703125" customWidth="1"/>
    <col min="9" max="9" width="8" customWidth="1"/>
    <col min="10" max="11" width="8.85546875" customWidth="1"/>
    <col min="12" max="12" width="7.5703125" customWidth="1"/>
    <col min="13" max="13" width="7.7109375" customWidth="1"/>
    <col min="14" max="14" width="13.5703125" customWidth="1"/>
    <col min="16" max="17" width="40.140625" customWidth="1"/>
    <col min="20" max="31" width="6" bestFit="1" customWidth="1"/>
  </cols>
  <sheetData>
    <row r="1" spans="1:31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265</v>
      </c>
      <c r="O1" t="s">
        <v>266</v>
      </c>
      <c r="P1" s="3" t="s">
        <v>267</v>
      </c>
      <c r="Q1" s="4" t="s">
        <v>283</v>
      </c>
    </row>
    <row r="2" spans="1:31" x14ac:dyDescent="0.25">
      <c r="A2" s="1" t="s">
        <v>0</v>
      </c>
      <c r="B2">
        <v>50.9</v>
      </c>
      <c r="C2">
        <v>51.62</v>
      </c>
      <c r="D2">
        <v>53.12</v>
      </c>
      <c r="E2">
        <v>58.66</v>
      </c>
      <c r="F2">
        <v>58.96</v>
      </c>
      <c r="G2">
        <v>59.26</v>
      </c>
      <c r="H2">
        <v>48.15</v>
      </c>
      <c r="I2">
        <v>48.17</v>
      </c>
      <c r="J2">
        <v>48.19</v>
      </c>
      <c r="K2">
        <v>50.23</v>
      </c>
      <c r="L2">
        <v>50.23</v>
      </c>
      <c r="M2">
        <v>50.23</v>
      </c>
      <c r="N2">
        <f>SUM(B2:M2)</f>
        <v>627.72</v>
      </c>
      <c r="O2">
        <f>IF(COUNTIF(B2:M2,"&gt;33")=12,50,0)</f>
        <v>50</v>
      </c>
      <c r="P2" s="3">
        <f>COUNTIF(O2:O252,"&gt;33")</f>
        <v>158</v>
      </c>
      <c r="Q2" s="4">
        <f>_xlfn.MODE.MULT(B2:M252)</f>
        <v>42.98</v>
      </c>
      <c r="S2" s="4"/>
      <c r="T2" s="4" t="s">
        <v>281</v>
      </c>
      <c r="U2" s="4" t="s">
        <v>268</v>
      </c>
      <c r="V2" s="4" t="s">
        <v>269</v>
      </c>
      <c r="W2" s="4" t="s">
        <v>270</v>
      </c>
      <c r="X2" s="4" t="s">
        <v>271</v>
      </c>
      <c r="Y2" s="4" t="s">
        <v>272</v>
      </c>
      <c r="Z2" s="4" t="s">
        <v>273</v>
      </c>
      <c r="AA2" s="4" t="s">
        <v>274</v>
      </c>
      <c r="AB2" s="4" t="s">
        <v>275</v>
      </c>
      <c r="AC2" s="4" t="s">
        <v>276</v>
      </c>
      <c r="AD2" s="4" t="s">
        <v>277</v>
      </c>
      <c r="AE2" s="4" t="s">
        <v>278</v>
      </c>
    </row>
    <row r="3" spans="1:31" x14ac:dyDescent="0.25">
      <c r="A3" s="1" t="s">
        <v>1</v>
      </c>
      <c r="B3">
        <v>50.42</v>
      </c>
      <c r="C3">
        <v>51.13</v>
      </c>
      <c r="D3">
        <v>52.62</v>
      </c>
      <c r="E3">
        <v>57.92</v>
      </c>
      <c r="F3">
        <v>58.22</v>
      </c>
      <c r="G3">
        <v>58.51</v>
      </c>
      <c r="H3">
        <v>48.04</v>
      </c>
      <c r="I3">
        <v>48.06</v>
      </c>
      <c r="J3">
        <v>48.08</v>
      </c>
      <c r="K3">
        <v>50.07</v>
      </c>
      <c r="L3">
        <v>50.07</v>
      </c>
      <c r="M3">
        <v>50.07</v>
      </c>
      <c r="N3">
        <f t="shared" ref="N3:N66" si="0">SUM(B3:M3)</f>
        <v>623.21000000000015</v>
      </c>
      <c r="O3">
        <f t="shared" ref="O3:O66" si="1">IF(COUNTIF(B3:M3,"&gt;33")=12,50,0)</f>
        <v>50</v>
      </c>
      <c r="Q3" s="4" t="s">
        <v>282</v>
      </c>
      <c r="S3" s="4" t="s">
        <v>280</v>
      </c>
      <c r="T3" s="4">
        <f>MAX(B2:B252)</f>
        <v>50.9</v>
      </c>
      <c r="U3" s="4">
        <f t="shared" ref="U3:AE3" si="2">MAX(C2:C252)</f>
        <v>51.62</v>
      </c>
      <c r="V3" s="4">
        <f t="shared" si="2"/>
        <v>53.12</v>
      </c>
      <c r="W3" s="4">
        <f t="shared" si="2"/>
        <v>58.66</v>
      </c>
      <c r="X3" s="4">
        <f t="shared" si="2"/>
        <v>58.96</v>
      </c>
      <c r="Y3" s="4">
        <f t="shared" si="2"/>
        <v>59.26</v>
      </c>
      <c r="Z3" s="4">
        <f t="shared" si="2"/>
        <v>48.15</v>
      </c>
      <c r="AA3" s="4">
        <f t="shared" si="2"/>
        <v>48.17</v>
      </c>
      <c r="AB3" s="4">
        <f t="shared" si="2"/>
        <v>48.19</v>
      </c>
      <c r="AC3" s="4">
        <f t="shared" si="2"/>
        <v>50.23</v>
      </c>
      <c r="AD3" s="4">
        <f t="shared" si="2"/>
        <v>50.23</v>
      </c>
      <c r="AE3" s="4">
        <f t="shared" si="2"/>
        <v>50.23</v>
      </c>
    </row>
    <row r="4" spans="1:31" x14ac:dyDescent="0.25">
      <c r="A4" s="1" t="s">
        <v>2</v>
      </c>
      <c r="B4">
        <v>49.68</v>
      </c>
      <c r="C4">
        <v>50.39</v>
      </c>
      <c r="D4">
        <v>51.85</v>
      </c>
      <c r="E4">
        <v>56.86</v>
      </c>
      <c r="F4">
        <v>57.15</v>
      </c>
      <c r="G4">
        <v>57.44</v>
      </c>
      <c r="H4">
        <v>47.14</v>
      </c>
      <c r="I4">
        <v>47.16</v>
      </c>
      <c r="J4">
        <v>47.17</v>
      </c>
      <c r="K4">
        <v>49.27</v>
      </c>
      <c r="L4">
        <v>49.28</v>
      </c>
      <c r="M4">
        <v>49.28</v>
      </c>
      <c r="N4">
        <f t="shared" si="0"/>
        <v>612.66999999999996</v>
      </c>
      <c r="O4">
        <f t="shared" si="1"/>
        <v>50</v>
      </c>
      <c r="Q4" s="4">
        <f>COUNTIF(B2:M252,Q2)</f>
        <v>8</v>
      </c>
      <c r="S4" s="4" t="s">
        <v>279</v>
      </c>
      <c r="T4" s="4">
        <f>MIN(B2:B252)</f>
        <v>20.82</v>
      </c>
      <c r="U4" s="4">
        <f t="shared" ref="U4:AE4" si="3">MIN(C2:C252)</f>
        <v>21.21</v>
      </c>
      <c r="V4" s="4">
        <f t="shared" si="3"/>
        <v>21.92</v>
      </c>
      <c r="W4" s="4">
        <f t="shared" si="3"/>
        <v>18.760000000000002</v>
      </c>
      <c r="X4" s="4">
        <f t="shared" si="3"/>
        <v>18.940000000000001</v>
      </c>
      <c r="Y4" s="4">
        <f t="shared" si="3"/>
        <v>19.12</v>
      </c>
      <c r="Z4" s="4">
        <f t="shared" si="3"/>
        <v>16.04</v>
      </c>
      <c r="AA4" s="4">
        <f t="shared" si="3"/>
        <v>16.079999999999998</v>
      </c>
      <c r="AB4" s="4">
        <f t="shared" si="3"/>
        <v>16.12</v>
      </c>
      <c r="AC4" s="4">
        <f t="shared" si="3"/>
        <v>20.329999999999998</v>
      </c>
      <c r="AD4" s="4">
        <f t="shared" si="3"/>
        <v>20.41</v>
      </c>
      <c r="AE4" s="4">
        <f t="shared" si="3"/>
        <v>20.5</v>
      </c>
    </row>
    <row r="5" spans="1:31" x14ac:dyDescent="0.25">
      <c r="A5" s="1" t="s">
        <v>3</v>
      </c>
      <c r="B5">
        <v>48.97</v>
      </c>
      <c r="C5">
        <v>49.66</v>
      </c>
      <c r="D5">
        <v>51.11</v>
      </c>
      <c r="E5">
        <v>56.19</v>
      </c>
      <c r="F5">
        <v>56.48</v>
      </c>
      <c r="G5">
        <v>56.77</v>
      </c>
      <c r="H5">
        <v>46.52</v>
      </c>
      <c r="I5">
        <v>46.54</v>
      </c>
      <c r="J5">
        <v>46.56</v>
      </c>
      <c r="K5">
        <v>48.25</v>
      </c>
      <c r="L5">
        <v>48.26</v>
      </c>
      <c r="M5">
        <v>48.26</v>
      </c>
      <c r="N5">
        <f t="shared" si="0"/>
        <v>603.57000000000005</v>
      </c>
      <c r="O5">
        <f t="shared" si="1"/>
        <v>50</v>
      </c>
    </row>
    <row r="6" spans="1:31" x14ac:dyDescent="0.25">
      <c r="A6" s="1" t="s">
        <v>4</v>
      </c>
      <c r="B6">
        <v>49.17</v>
      </c>
      <c r="C6">
        <v>49.87</v>
      </c>
      <c r="D6">
        <v>51.32</v>
      </c>
      <c r="E6">
        <v>56.65</v>
      </c>
      <c r="F6">
        <v>56.94</v>
      </c>
      <c r="G6">
        <v>57.24</v>
      </c>
      <c r="H6">
        <v>46.76</v>
      </c>
      <c r="I6">
        <v>46.78</v>
      </c>
      <c r="J6">
        <v>46.8</v>
      </c>
      <c r="K6">
        <v>48.69</v>
      </c>
      <c r="L6">
        <v>48.69</v>
      </c>
      <c r="M6">
        <v>48.69</v>
      </c>
      <c r="N6">
        <f t="shared" si="0"/>
        <v>607.60000000000014</v>
      </c>
      <c r="O6">
        <f t="shared" si="1"/>
        <v>50</v>
      </c>
    </row>
    <row r="7" spans="1:31" x14ac:dyDescent="0.25">
      <c r="A7" s="1" t="s">
        <v>5</v>
      </c>
      <c r="B7">
        <v>48.08</v>
      </c>
      <c r="C7">
        <v>48.76</v>
      </c>
      <c r="D7">
        <v>50.19</v>
      </c>
      <c r="E7">
        <v>55.41</v>
      </c>
      <c r="F7">
        <v>55.7</v>
      </c>
      <c r="G7">
        <v>55.99</v>
      </c>
      <c r="H7">
        <v>45.34</v>
      </c>
      <c r="I7">
        <v>45.36</v>
      </c>
      <c r="J7">
        <v>45.38</v>
      </c>
      <c r="K7">
        <v>47.85</v>
      </c>
      <c r="L7">
        <v>47.85</v>
      </c>
      <c r="M7">
        <v>47.86</v>
      </c>
      <c r="N7">
        <f t="shared" si="0"/>
        <v>593.7700000000001</v>
      </c>
      <c r="O7">
        <f t="shared" si="1"/>
        <v>50</v>
      </c>
    </row>
    <row r="8" spans="1:31" x14ac:dyDescent="0.25">
      <c r="A8" s="1" t="s">
        <v>6</v>
      </c>
      <c r="B8">
        <v>46.78</v>
      </c>
      <c r="C8">
        <v>47.44</v>
      </c>
      <c r="D8">
        <v>48.83</v>
      </c>
      <c r="E8">
        <v>54.31</v>
      </c>
      <c r="F8">
        <v>54.59</v>
      </c>
      <c r="G8">
        <v>54.88</v>
      </c>
      <c r="H8">
        <v>44.44</v>
      </c>
      <c r="I8">
        <v>44.46</v>
      </c>
      <c r="J8">
        <v>44.48</v>
      </c>
      <c r="K8">
        <v>46.23</v>
      </c>
      <c r="L8">
        <v>46.23</v>
      </c>
      <c r="M8">
        <v>46.24</v>
      </c>
      <c r="N8">
        <f t="shared" si="0"/>
        <v>578.91000000000008</v>
      </c>
      <c r="O8">
        <f t="shared" si="1"/>
        <v>50</v>
      </c>
    </row>
    <row r="9" spans="1:31" x14ac:dyDescent="0.25">
      <c r="A9" s="1" t="s">
        <v>7</v>
      </c>
      <c r="B9">
        <v>46.19</v>
      </c>
      <c r="C9">
        <v>46.85</v>
      </c>
      <c r="D9">
        <v>48.22</v>
      </c>
      <c r="E9">
        <v>53.47</v>
      </c>
      <c r="F9">
        <v>53.75</v>
      </c>
      <c r="G9">
        <v>54.03</v>
      </c>
      <c r="H9">
        <v>43.93</v>
      </c>
      <c r="I9">
        <v>43.95</v>
      </c>
      <c r="J9">
        <v>43.97</v>
      </c>
      <c r="K9">
        <v>45.58</v>
      </c>
      <c r="L9">
        <v>45.58</v>
      </c>
      <c r="M9">
        <v>45.59</v>
      </c>
      <c r="N9">
        <f t="shared" si="0"/>
        <v>571.11</v>
      </c>
      <c r="O9">
        <f t="shared" si="1"/>
        <v>50</v>
      </c>
    </row>
    <row r="10" spans="1:31" x14ac:dyDescent="0.25">
      <c r="A10" s="1" t="s">
        <v>8</v>
      </c>
      <c r="B10">
        <v>45.92</v>
      </c>
      <c r="C10">
        <v>46.58</v>
      </c>
      <c r="D10">
        <v>47.94</v>
      </c>
      <c r="E10">
        <v>53.25</v>
      </c>
      <c r="F10">
        <v>53.53</v>
      </c>
      <c r="G10">
        <v>53.81</v>
      </c>
      <c r="H10">
        <v>44.11</v>
      </c>
      <c r="I10">
        <v>44.14</v>
      </c>
      <c r="J10">
        <v>44.16</v>
      </c>
      <c r="K10">
        <v>45.87</v>
      </c>
      <c r="L10">
        <v>45.88</v>
      </c>
      <c r="M10">
        <v>45.89</v>
      </c>
      <c r="N10">
        <f t="shared" si="0"/>
        <v>571.07999999999993</v>
      </c>
      <c r="O10">
        <f t="shared" si="1"/>
        <v>50</v>
      </c>
    </row>
    <row r="11" spans="1:31" x14ac:dyDescent="0.25">
      <c r="A11" s="1" t="s">
        <v>9</v>
      </c>
      <c r="B11">
        <v>44.59</v>
      </c>
      <c r="C11">
        <v>45.23</v>
      </c>
      <c r="D11">
        <v>46.55</v>
      </c>
      <c r="E11">
        <v>51.61</v>
      </c>
      <c r="F11">
        <v>51.88</v>
      </c>
      <c r="G11">
        <v>52.15</v>
      </c>
      <c r="H11">
        <v>42.81</v>
      </c>
      <c r="I11">
        <v>42.83</v>
      </c>
      <c r="J11">
        <v>42.85</v>
      </c>
      <c r="K11">
        <v>44.67</v>
      </c>
      <c r="L11">
        <v>44.68</v>
      </c>
      <c r="M11">
        <v>44.68</v>
      </c>
      <c r="N11">
        <f t="shared" si="0"/>
        <v>554.53</v>
      </c>
      <c r="O11">
        <f t="shared" si="1"/>
        <v>50</v>
      </c>
    </row>
    <row r="12" spans="1:31" x14ac:dyDescent="0.25">
      <c r="A12" s="1" t="s">
        <v>10</v>
      </c>
      <c r="B12">
        <v>42.88</v>
      </c>
      <c r="C12">
        <v>43.5</v>
      </c>
      <c r="D12">
        <v>44.77</v>
      </c>
      <c r="E12">
        <v>49.94</v>
      </c>
      <c r="F12">
        <v>50.2</v>
      </c>
      <c r="G12">
        <v>50.47</v>
      </c>
      <c r="H12">
        <v>41.38</v>
      </c>
      <c r="I12">
        <v>41.4</v>
      </c>
      <c r="J12">
        <v>41.42</v>
      </c>
      <c r="K12">
        <v>43.37</v>
      </c>
      <c r="L12">
        <v>43.37</v>
      </c>
      <c r="M12">
        <v>43.38</v>
      </c>
      <c r="N12">
        <f t="shared" si="0"/>
        <v>536.08000000000004</v>
      </c>
      <c r="O12">
        <f t="shared" si="1"/>
        <v>50</v>
      </c>
    </row>
    <row r="13" spans="1:31" x14ac:dyDescent="0.25">
      <c r="A13" s="1" t="s">
        <v>11</v>
      </c>
      <c r="B13">
        <v>43.16</v>
      </c>
      <c r="C13">
        <v>43.78</v>
      </c>
      <c r="D13">
        <v>45.06</v>
      </c>
      <c r="E13">
        <v>49.84</v>
      </c>
      <c r="F13">
        <v>50.1</v>
      </c>
      <c r="G13">
        <v>50.37</v>
      </c>
      <c r="H13">
        <v>41.66</v>
      </c>
      <c r="I13">
        <v>41.69</v>
      </c>
      <c r="J13">
        <v>41.71</v>
      </c>
      <c r="K13">
        <v>43.31</v>
      </c>
      <c r="L13">
        <v>43.32</v>
      </c>
      <c r="M13">
        <v>43.32</v>
      </c>
      <c r="N13">
        <f t="shared" si="0"/>
        <v>537.32000000000005</v>
      </c>
      <c r="O13">
        <f t="shared" si="1"/>
        <v>50</v>
      </c>
    </row>
    <row r="14" spans="1:31" x14ac:dyDescent="0.25">
      <c r="A14" s="1" t="s">
        <v>12</v>
      </c>
      <c r="B14">
        <v>43.58</v>
      </c>
      <c r="C14">
        <v>44.2</v>
      </c>
      <c r="D14">
        <v>45.5</v>
      </c>
      <c r="E14">
        <v>49.99</v>
      </c>
      <c r="F14">
        <v>50.26</v>
      </c>
      <c r="G14">
        <v>50.52</v>
      </c>
      <c r="H14">
        <v>41.64</v>
      </c>
      <c r="I14">
        <v>41.66</v>
      </c>
      <c r="J14">
        <v>41.68</v>
      </c>
      <c r="K14">
        <v>43.2</v>
      </c>
      <c r="L14">
        <v>43.21</v>
      </c>
      <c r="M14">
        <v>43.21</v>
      </c>
      <c r="N14">
        <f t="shared" si="0"/>
        <v>538.65</v>
      </c>
      <c r="O14">
        <f t="shared" si="1"/>
        <v>50</v>
      </c>
    </row>
    <row r="15" spans="1:31" x14ac:dyDescent="0.25">
      <c r="A15" s="1" t="s">
        <v>13</v>
      </c>
      <c r="B15">
        <v>41.1</v>
      </c>
      <c r="C15">
        <v>41.69</v>
      </c>
      <c r="D15">
        <v>42.91</v>
      </c>
      <c r="E15">
        <v>47.03</v>
      </c>
      <c r="F15">
        <v>47.29</v>
      </c>
      <c r="G15">
        <v>47.54</v>
      </c>
      <c r="H15">
        <v>39.94</v>
      </c>
      <c r="I15">
        <v>39.97</v>
      </c>
      <c r="J15">
        <v>39.99</v>
      </c>
      <c r="K15">
        <v>40.54</v>
      </c>
      <c r="L15">
        <v>40.54</v>
      </c>
      <c r="M15">
        <v>40.549999999999997</v>
      </c>
      <c r="N15">
        <f t="shared" si="0"/>
        <v>509.09000000000009</v>
      </c>
      <c r="O15">
        <f t="shared" si="1"/>
        <v>50</v>
      </c>
    </row>
    <row r="16" spans="1:31" x14ac:dyDescent="0.25">
      <c r="A16" s="1" t="s">
        <v>14</v>
      </c>
      <c r="B16">
        <v>41.76</v>
      </c>
      <c r="C16">
        <v>42.36</v>
      </c>
      <c r="D16">
        <v>43.61</v>
      </c>
      <c r="E16">
        <v>47.17</v>
      </c>
      <c r="F16">
        <v>47.43</v>
      </c>
      <c r="G16">
        <v>47.68</v>
      </c>
      <c r="H16">
        <v>41.17</v>
      </c>
      <c r="I16">
        <v>41.19</v>
      </c>
      <c r="J16">
        <v>41.22</v>
      </c>
      <c r="K16">
        <v>41.3</v>
      </c>
      <c r="L16">
        <v>41.31</v>
      </c>
      <c r="M16">
        <v>41.31</v>
      </c>
      <c r="N16">
        <f t="shared" si="0"/>
        <v>517.51</v>
      </c>
      <c r="O16">
        <f t="shared" si="1"/>
        <v>50</v>
      </c>
    </row>
    <row r="17" spans="1:15" x14ac:dyDescent="0.25">
      <c r="A17" s="1" t="s">
        <v>15</v>
      </c>
      <c r="B17">
        <v>41.25</v>
      </c>
      <c r="C17">
        <v>41.84</v>
      </c>
      <c r="D17">
        <v>43.07</v>
      </c>
      <c r="E17">
        <v>45.83</v>
      </c>
      <c r="F17">
        <v>46.08</v>
      </c>
      <c r="G17">
        <v>46.32</v>
      </c>
      <c r="H17">
        <v>40.200000000000003</v>
      </c>
      <c r="I17">
        <v>40.22</v>
      </c>
      <c r="J17">
        <v>40.24</v>
      </c>
      <c r="K17">
        <v>40.35</v>
      </c>
      <c r="L17">
        <v>40.36</v>
      </c>
      <c r="M17">
        <v>40.36</v>
      </c>
      <c r="N17">
        <f t="shared" si="0"/>
        <v>506.12</v>
      </c>
      <c r="O17">
        <f t="shared" si="1"/>
        <v>50</v>
      </c>
    </row>
    <row r="18" spans="1:15" x14ac:dyDescent="0.25">
      <c r="A18" s="1" t="s">
        <v>16</v>
      </c>
      <c r="B18">
        <v>43.34</v>
      </c>
      <c r="C18">
        <v>43.96</v>
      </c>
      <c r="D18">
        <v>45.25</v>
      </c>
      <c r="E18">
        <v>48.3</v>
      </c>
      <c r="F18">
        <v>48.56</v>
      </c>
      <c r="G18">
        <v>48.82</v>
      </c>
      <c r="H18">
        <v>42.27</v>
      </c>
      <c r="I18">
        <v>42.3</v>
      </c>
      <c r="J18">
        <v>42.32</v>
      </c>
      <c r="K18">
        <v>42.16</v>
      </c>
      <c r="L18">
        <v>42.16</v>
      </c>
      <c r="M18">
        <v>42.17</v>
      </c>
      <c r="N18">
        <f t="shared" si="0"/>
        <v>531.6099999999999</v>
      </c>
      <c r="O18">
        <f t="shared" si="1"/>
        <v>50</v>
      </c>
    </row>
    <row r="19" spans="1:15" x14ac:dyDescent="0.25">
      <c r="A19" s="1" t="s">
        <v>17</v>
      </c>
      <c r="B19">
        <v>43.55</v>
      </c>
      <c r="C19">
        <v>44.18</v>
      </c>
      <c r="D19">
        <v>45.48</v>
      </c>
      <c r="E19">
        <v>48.55</v>
      </c>
      <c r="F19">
        <v>48.81</v>
      </c>
      <c r="G19">
        <v>49.07</v>
      </c>
      <c r="H19">
        <v>42.38</v>
      </c>
      <c r="I19">
        <v>42.4</v>
      </c>
      <c r="J19">
        <v>42.42</v>
      </c>
      <c r="K19">
        <v>43.26</v>
      </c>
      <c r="L19">
        <v>43.26</v>
      </c>
      <c r="M19">
        <v>43.27</v>
      </c>
      <c r="N19">
        <f t="shared" si="0"/>
        <v>536.63</v>
      </c>
      <c r="O19">
        <f t="shared" si="1"/>
        <v>50</v>
      </c>
    </row>
    <row r="20" spans="1:15" x14ac:dyDescent="0.25">
      <c r="A20" s="1" t="s">
        <v>18</v>
      </c>
      <c r="B20">
        <v>42.51</v>
      </c>
      <c r="C20">
        <v>43.12</v>
      </c>
      <c r="D20">
        <v>44.39</v>
      </c>
      <c r="E20">
        <v>47.03</v>
      </c>
      <c r="F20">
        <v>47.29</v>
      </c>
      <c r="G20">
        <v>47.54</v>
      </c>
      <c r="H20">
        <v>41.19</v>
      </c>
      <c r="I20">
        <v>41.21</v>
      </c>
      <c r="J20">
        <v>41.23</v>
      </c>
      <c r="K20">
        <v>42.75</v>
      </c>
      <c r="L20">
        <v>42.76</v>
      </c>
      <c r="M20">
        <v>42.77</v>
      </c>
      <c r="N20">
        <f t="shared" si="0"/>
        <v>523.79</v>
      </c>
      <c r="O20">
        <f t="shared" si="1"/>
        <v>50</v>
      </c>
    </row>
    <row r="21" spans="1:15" x14ac:dyDescent="0.25">
      <c r="A21" s="1" t="s">
        <v>19</v>
      </c>
      <c r="B21">
        <v>43.83</v>
      </c>
      <c r="C21">
        <v>44.46</v>
      </c>
      <c r="D21">
        <v>45.77</v>
      </c>
      <c r="E21">
        <v>48.04</v>
      </c>
      <c r="F21">
        <v>48.3</v>
      </c>
      <c r="G21">
        <v>48.56</v>
      </c>
      <c r="H21">
        <v>42.22</v>
      </c>
      <c r="I21">
        <v>42.25</v>
      </c>
      <c r="J21">
        <v>42.27</v>
      </c>
      <c r="K21">
        <v>43.88</v>
      </c>
      <c r="L21">
        <v>43.89</v>
      </c>
      <c r="M21">
        <v>43.9</v>
      </c>
      <c r="N21">
        <f t="shared" si="0"/>
        <v>537.36999999999989</v>
      </c>
      <c r="O21">
        <f t="shared" si="1"/>
        <v>50</v>
      </c>
    </row>
    <row r="22" spans="1:15" x14ac:dyDescent="0.25">
      <c r="A22" s="1" t="s">
        <v>20</v>
      </c>
      <c r="B22">
        <v>43.65</v>
      </c>
      <c r="C22">
        <v>44.28</v>
      </c>
      <c r="D22">
        <v>45.59</v>
      </c>
      <c r="E22">
        <v>47.85</v>
      </c>
      <c r="F22">
        <v>48.11</v>
      </c>
      <c r="G22">
        <v>48.37</v>
      </c>
      <c r="H22">
        <v>42.07</v>
      </c>
      <c r="I22">
        <v>42.1</v>
      </c>
      <c r="J22">
        <v>42.12</v>
      </c>
      <c r="K22">
        <v>43.39</v>
      </c>
      <c r="L22">
        <v>43.4</v>
      </c>
      <c r="M22">
        <v>43.41</v>
      </c>
      <c r="N22">
        <f t="shared" si="0"/>
        <v>534.34</v>
      </c>
      <c r="O22">
        <f t="shared" si="1"/>
        <v>50</v>
      </c>
    </row>
    <row r="23" spans="1:15" x14ac:dyDescent="0.25">
      <c r="A23" s="1" t="s">
        <v>21</v>
      </c>
      <c r="B23">
        <v>43.03</v>
      </c>
      <c r="C23">
        <v>43.65</v>
      </c>
      <c r="D23">
        <v>44.94</v>
      </c>
      <c r="E23">
        <v>47.2</v>
      </c>
      <c r="F23">
        <v>47.46</v>
      </c>
      <c r="G23">
        <v>47.72</v>
      </c>
      <c r="H23">
        <v>41.88</v>
      </c>
      <c r="I23">
        <v>41.91</v>
      </c>
      <c r="J23">
        <v>41.93</v>
      </c>
      <c r="K23">
        <v>43.21</v>
      </c>
      <c r="L23">
        <v>43.22</v>
      </c>
      <c r="M23">
        <v>43.23</v>
      </c>
      <c r="N23">
        <f t="shared" si="0"/>
        <v>529.38</v>
      </c>
      <c r="O23">
        <f t="shared" si="1"/>
        <v>50</v>
      </c>
    </row>
    <row r="24" spans="1:15" x14ac:dyDescent="0.25">
      <c r="A24" s="1" t="s">
        <v>22</v>
      </c>
      <c r="B24">
        <v>44.01</v>
      </c>
      <c r="C24">
        <v>44.65</v>
      </c>
      <c r="D24">
        <v>45.97</v>
      </c>
      <c r="E24">
        <v>48.27</v>
      </c>
      <c r="F24">
        <v>48.54</v>
      </c>
      <c r="G24">
        <v>48.81</v>
      </c>
      <c r="H24">
        <v>42.49</v>
      </c>
      <c r="I24">
        <v>42.52</v>
      </c>
      <c r="J24">
        <v>42.54</v>
      </c>
      <c r="K24">
        <v>43.85</v>
      </c>
      <c r="L24">
        <v>43.86</v>
      </c>
      <c r="M24">
        <v>43.87</v>
      </c>
      <c r="N24">
        <f t="shared" si="0"/>
        <v>539.38</v>
      </c>
      <c r="O24">
        <f t="shared" si="1"/>
        <v>50</v>
      </c>
    </row>
    <row r="25" spans="1:15" x14ac:dyDescent="0.25">
      <c r="A25" s="1" t="s">
        <v>23</v>
      </c>
      <c r="B25">
        <v>44.4</v>
      </c>
      <c r="C25">
        <v>45.05</v>
      </c>
      <c r="D25">
        <v>46.38</v>
      </c>
      <c r="E25">
        <v>48.75</v>
      </c>
      <c r="F25">
        <v>49.02</v>
      </c>
      <c r="G25">
        <v>49.29</v>
      </c>
      <c r="H25">
        <v>42.52</v>
      </c>
      <c r="I25">
        <v>42.55</v>
      </c>
      <c r="J25">
        <v>42.58</v>
      </c>
      <c r="K25">
        <v>44.19</v>
      </c>
      <c r="L25">
        <v>44.21</v>
      </c>
      <c r="M25">
        <v>44.22</v>
      </c>
      <c r="N25">
        <f t="shared" si="0"/>
        <v>543.16</v>
      </c>
      <c r="O25">
        <f t="shared" si="1"/>
        <v>50</v>
      </c>
    </row>
    <row r="26" spans="1:15" x14ac:dyDescent="0.25">
      <c r="A26" s="1" t="s">
        <v>24</v>
      </c>
      <c r="B26">
        <v>43.18</v>
      </c>
      <c r="C26">
        <v>43.81</v>
      </c>
      <c r="D26">
        <v>45.1</v>
      </c>
      <c r="E26">
        <v>47.53</v>
      </c>
      <c r="F26">
        <v>47.79</v>
      </c>
      <c r="G26">
        <v>48.06</v>
      </c>
      <c r="H26">
        <v>41.3</v>
      </c>
      <c r="I26">
        <v>41.33</v>
      </c>
      <c r="J26">
        <v>41.35</v>
      </c>
      <c r="K26">
        <v>43.02</v>
      </c>
      <c r="L26">
        <v>43.03</v>
      </c>
      <c r="M26">
        <v>43.05</v>
      </c>
      <c r="N26">
        <f t="shared" si="0"/>
        <v>528.54999999999995</v>
      </c>
      <c r="O26">
        <f t="shared" si="1"/>
        <v>50</v>
      </c>
    </row>
    <row r="27" spans="1:15" x14ac:dyDescent="0.25">
      <c r="A27" s="1" t="s">
        <v>25</v>
      </c>
      <c r="B27">
        <v>43.2</v>
      </c>
      <c r="C27">
        <v>43.83</v>
      </c>
      <c r="D27">
        <v>45.12</v>
      </c>
      <c r="E27">
        <v>47.57</v>
      </c>
      <c r="F27">
        <v>47.84</v>
      </c>
      <c r="G27">
        <v>48.1</v>
      </c>
      <c r="H27">
        <v>41.47</v>
      </c>
      <c r="I27">
        <v>41.49</v>
      </c>
      <c r="J27">
        <v>41.52</v>
      </c>
      <c r="K27">
        <v>43.05</v>
      </c>
      <c r="L27">
        <v>43.07</v>
      </c>
      <c r="M27">
        <v>43.08</v>
      </c>
      <c r="N27">
        <f t="shared" si="0"/>
        <v>529.34</v>
      </c>
      <c r="O27">
        <f t="shared" si="1"/>
        <v>50</v>
      </c>
    </row>
    <row r="28" spans="1:15" x14ac:dyDescent="0.25">
      <c r="A28" s="1" t="s">
        <v>26</v>
      </c>
      <c r="B28">
        <v>42.52</v>
      </c>
      <c r="C28">
        <v>43.14</v>
      </c>
      <c r="D28">
        <v>44.42</v>
      </c>
      <c r="E28">
        <v>46.34</v>
      </c>
      <c r="F28">
        <v>46.59</v>
      </c>
      <c r="G28">
        <v>46.85</v>
      </c>
      <c r="H28">
        <v>40.75</v>
      </c>
      <c r="I28">
        <v>40.78</v>
      </c>
      <c r="J28">
        <v>40.799999999999997</v>
      </c>
      <c r="K28">
        <v>42.15</v>
      </c>
      <c r="L28">
        <v>42.16</v>
      </c>
      <c r="M28">
        <v>42.18</v>
      </c>
      <c r="N28">
        <f t="shared" si="0"/>
        <v>518.67999999999995</v>
      </c>
      <c r="O28">
        <f t="shared" si="1"/>
        <v>50</v>
      </c>
    </row>
    <row r="29" spans="1:15" x14ac:dyDescent="0.25">
      <c r="A29" s="1" t="s">
        <v>27</v>
      </c>
      <c r="B29">
        <v>42.68</v>
      </c>
      <c r="C29">
        <v>43.3</v>
      </c>
      <c r="D29">
        <v>44.59</v>
      </c>
      <c r="E29">
        <v>46.39</v>
      </c>
      <c r="F29">
        <v>46.65</v>
      </c>
      <c r="G29">
        <v>46.91</v>
      </c>
      <c r="H29">
        <v>41.23</v>
      </c>
      <c r="I29">
        <v>41.26</v>
      </c>
      <c r="J29">
        <v>41.29</v>
      </c>
      <c r="K29">
        <v>42.51</v>
      </c>
      <c r="L29">
        <v>42.52</v>
      </c>
      <c r="M29">
        <v>42.53</v>
      </c>
      <c r="N29">
        <f t="shared" si="0"/>
        <v>521.86</v>
      </c>
      <c r="O29">
        <f t="shared" si="1"/>
        <v>50</v>
      </c>
    </row>
    <row r="30" spans="1:15" x14ac:dyDescent="0.25">
      <c r="A30" s="1" t="s">
        <v>28</v>
      </c>
      <c r="B30">
        <v>42.79</v>
      </c>
      <c r="C30">
        <v>43.42</v>
      </c>
      <c r="D30">
        <v>44.71</v>
      </c>
      <c r="E30">
        <v>46.06</v>
      </c>
      <c r="F30">
        <v>46.32</v>
      </c>
      <c r="G30">
        <v>46.58</v>
      </c>
      <c r="H30">
        <v>41.18</v>
      </c>
      <c r="I30">
        <v>41.2</v>
      </c>
      <c r="J30">
        <v>41.23</v>
      </c>
      <c r="K30">
        <v>42.75</v>
      </c>
      <c r="L30">
        <v>42.76</v>
      </c>
      <c r="M30">
        <v>42.78</v>
      </c>
      <c r="N30">
        <f t="shared" si="0"/>
        <v>521.78</v>
      </c>
      <c r="O30">
        <f t="shared" si="1"/>
        <v>50</v>
      </c>
    </row>
    <row r="31" spans="1:15" x14ac:dyDescent="0.25">
      <c r="A31" s="1" t="s">
        <v>29</v>
      </c>
      <c r="B31">
        <v>44.11</v>
      </c>
      <c r="C31">
        <v>44.76</v>
      </c>
      <c r="D31">
        <v>46.09</v>
      </c>
      <c r="E31">
        <v>47.61</v>
      </c>
      <c r="F31">
        <v>47.87</v>
      </c>
      <c r="G31">
        <v>48.14</v>
      </c>
      <c r="H31">
        <v>42.26</v>
      </c>
      <c r="I31">
        <v>42.29</v>
      </c>
      <c r="J31">
        <v>42.32</v>
      </c>
      <c r="K31">
        <v>44.33</v>
      </c>
      <c r="L31">
        <v>44.34</v>
      </c>
      <c r="M31">
        <v>44.35</v>
      </c>
      <c r="N31">
        <f t="shared" si="0"/>
        <v>538.47</v>
      </c>
      <c r="O31">
        <f t="shared" si="1"/>
        <v>50</v>
      </c>
    </row>
    <row r="32" spans="1:15" x14ac:dyDescent="0.25">
      <c r="A32" s="1" t="s">
        <v>30</v>
      </c>
      <c r="B32">
        <v>44.67</v>
      </c>
      <c r="C32">
        <v>45.33</v>
      </c>
      <c r="D32">
        <v>46.68</v>
      </c>
      <c r="E32">
        <v>48.56</v>
      </c>
      <c r="F32">
        <v>48.84</v>
      </c>
      <c r="G32">
        <v>49.11</v>
      </c>
      <c r="H32">
        <v>42.56</v>
      </c>
      <c r="I32">
        <v>42.59</v>
      </c>
      <c r="J32">
        <v>42.62</v>
      </c>
      <c r="K32">
        <v>44.82</v>
      </c>
      <c r="L32">
        <v>44.83</v>
      </c>
      <c r="M32">
        <v>44.85</v>
      </c>
      <c r="N32">
        <f t="shared" si="0"/>
        <v>545.46</v>
      </c>
      <c r="O32">
        <f t="shared" si="1"/>
        <v>50</v>
      </c>
    </row>
    <row r="33" spans="1:15" x14ac:dyDescent="0.25">
      <c r="A33" s="1" t="s">
        <v>31</v>
      </c>
      <c r="B33">
        <v>45.01</v>
      </c>
      <c r="C33">
        <v>45.68</v>
      </c>
      <c r="D33">
        <v>47.03</v>
      </c>
      <c r="E33">
        <v>49.05</v>
      </c>
      <c r="F33">
        <v>49.33</v>
      </c>
      <c r="G33">
        <v>49.61</v>
      </c>
      <c r="H33">
        <v>42.84</v>
      </c>
      <c r="I33">
        <v>42.87</v>
      </c>
      <c r="J33">
        <v>42.9</v>
      </c>
      <c r="K33">
        <v>45.1</v>
      </c>
      <c r="L33">
        <v>45.11</v>
      </c>
      <c r="M33">
        <v>45.13</v>
      </c>
      <c r="N33">
        <f t="shared" si="0"/>
        <v>549.66</v>
      </c>
      <c r="O33">
        <f t="shared" si="1"/>
        <v>50</v>
      </c>
    </row>
    <row r="34" spans="1:15" x14ac:dyDescent="0.25">
      <c r="A34" s="1" t="s">
        <v>32</v>
      </c>
      <c r="B34">
        <v>44.4</v>
      </c>
      <c r="C34">
        <v>45.05</v>
      </c>
      <c r="D34">
        <v>46.39</v>
      </c>
      <c r="E34">
        <v>48.22</v>
      </c>
      <c r="F34">
        <v>48.49</v>
      </c>
      <c r="G34">
        <v>48.77</v>
      </c>
      <c r="H34">
        <v>42.04</v>
      </c>
      <c r="I34">
        <v>42.07</v>
      </c>
      <c r="J34">
        <v>42.1</v>
      </c>
      <c r="K34">
        <v>44.49</v>
      </c>
      <c r="L34">
        <v>44.5</v>
      </c>
      <c r="M34">
        <v>44.52</v>
      </c>
      <c r="N34">
        <f t="shared" si="0"/>
        <v>541.04000000000008</v>
      </c>
      <c r="O34">
        <f t="shared" si="1"/>
        <v>50</v>
      </c>
    </row>
    <row r="35" spans="1:15" x14ac:dyDescent="0.25">
      <c r="A35" s="1" t="s">
        <v>33</v>
      </c>
      <c r="B35">
        <v>45.37</v>
      </c>
      <c r="C35">
        <v>46.04</v>
      </c>
      <c r="D35">
        <v>47.41</v>
      </c>
      <c r="E35">
        <v>49.07</v>
      </c>
      <c r="F35">
        <v>49.35</v>
      </c>
      <c r="G35">
        <v>49.64</v>
      </c>
      <c r="H35">
        <v>42.95</v>
      </c>
      <c r="I35">
        <v>42.98</v>
      </c>
      <c r="J35">
        <v>43.01</v>
      </c>
      <c r="K35">
        <v>45.07</v>
      </c>
      <c r="L35">
        <v>45.09</v>
      </c>
      <c r="M35">
        <v>45.1</v>
      </c>
      <c r="N35">
        <f t="shared" si="0"/>
        <v>551.08000000000004</v>
      </c>
      <c r="O35">
        <f t="shared" si="1"/>
        <v>50</v>
      </c>
    </row>
    <row r="36" spans="1:15" x14ac:dyDescent="0.25">
      <c r="A36" s="1" t="s">
        <v>34</v>
      </c>
      <c r="B36">
        <v>45.37</v>
      </c>
      <c r="C36">
        <v>46.04</v>
      </c>
      <c r="D36">
        <v>47.41</v>
      </c>
      <c r="E36">
        <v>49.28</v>
      </c>
      <c r="F36">
        <v>49.56</v>
      </c>
      <c r="G36">
        <v>49.85</v>
      </c>
      <c r="H36">
        <v>43.06</v>
      </c>
      <c r="I36">
        <v>43.09</v>
      </c>
      <c r="J36">
        <v>43.12</v>
      </c>
      <c r="K36">
        <v>45.18</v>
      </c>
      <c r="L36">
        <v>45.19</v>
      </c>
      <c r="M36">
        <v>45.21</v>
      </c>
      <c r="N36">
        <f t="shared" si="0"/>
        <v>552.36</v>
      </c>
      <c r="O36">
        <f t="shared" si="1"/>
        <v>50</v>
      </c>
    </row>
    <row r="37" spans="1:15" x14ac:dyDescent="0.25">
      <c r="A37" s="1" t="s">
        <v>35</v>
      </c>
      <c r="B37">
        <v>45.07</v>
      </c>
      <c r="C37">
        <v>45.73</v>
      </c>
      <c r="D37">
        <v>47.09</v>
      </c>
      <c r="E37">
        <v>48.96</v>
      </c>
      <c r="F37">
        <v>49.24</v>
      </c>
      <c r="G37">
        <v>49.52</v>
      </c>
      <c r="H37">
        <v>42.83</v>
      </c>
      <c r="I37">
        <v>42.86</v>
      </c>
      <c r="J37">
        <v>42.89</v>
      </c>
      <c r="K37">
        <v>44.7</v>
      </c>
      <c r="L37">
        <v>44.72</v>
      </c>
      <c r="M37">
        <v>44.73</v>
      </c>
      <c r="N37">
        <f t="shared" si="0"/>
        <v>548.34</v>
      </c>
      <c r="O37">
        <f t="shared" si="1"/>
        <v>50</v>
      </c>
    </row>
    <row r="38" spans="1:15" x14ac:dyDescent="0.25">
      <c r="A38" s="1" t="s">
        <v>36</v>
      </c>
      <c r="B38">
        <v>45.11</v>
      </c>
      <c r="C38">
        <v>45.78</v>
      </c>
      <c r="D38">
        <v>47.15</v>
      </c>
      <c r="E38">
        <v>49.28</v>
      </c>
      <c r="F38">
        <v>49.57</v>
      </c>
      <c r="G38">
        <v>49.85</v>
      </c>
      <c r="H38">
        <v>42.91</v>
      </c>
      <c r="I38">
        <v>42.95</v>
      </c>
      <c r="J38">
        <v>42.98</v>
      </c>
      <c r="K38">
        <v>44.91</v>
      </c>
      <c r="L38">
        <v>44.93</v>
      </c>
      <c r="M38">
        <v>44.95</v>
      </c>
      <c r="N38">
        <f t="shared" si="0"/>
        <v>550.37</v>
      </c>
      <c r="O38">
        <f t="shared" si="1"/>
        <v>50</v>
      </c>
    </row>
    <row r="39" spans="1:15" x14ac:dyDescent="0.25">
      <c r="A39" s="1" t="s">
        <v>37</v>
      </c>
      <c r="B39">
        <v>44.58</v>
      </c>
      <c r="C39">
        <v>45.24</v>
      </c>
      <c r="D39">
        <v>46.59</v>
      </c>
      <c r="E39">
        <v>48.83</v>
      </c>
      <c r="F39">
        <v>49.12</v>
      </c>
      <c r="G39">
        <v>49.4</v>
      </c>
      <c r="H39">
        <v>42.52</v>
      </c>
      <c r="I39">
        <v>42.56</v>
      </c>
      <c r="J39">
        <v>42.59</v>
      </c>
      <c r="K39">
        <v>44.56</v>
      </c>
      <c r="L39">
        <v>44.58</v>
      </c>
      <c r="M39">
        <v>44.6</v>
      </c>
      <c r="N39">
        <f t="shared" si="0"/>
        <v>545.16999999999996</v>
      </c>
      <c r="O39">
        <f t="shared" si="1"/>
        <v>50</v>
      </c>
    </row>
    <row r="40" spans="1:15" x14ac:dyDescent="0.25">
      <c r="A40" s="1" t="s">
        <v>38</v>
      </c>
      <c r="B40">
        <v>44.63</v>
      </c>
      <c r="C40">
        <v>45.3</v>
      </c>
      <c r="D40">
        <v>46.65</v>
      </c>
      <c r="E40">
        <v>48.95</v>
      </c>
      <c r="F40">
        <v>49.24</v>
      </c>
      <c r="G40">
        <v>49.52</v>
      </c>
      <c r="H40">
        <v>42.63</v>
      </c>
      <c r="I40">
        <v>42.66</v>
      </c>
      <c r="J40">
        <v>42.69</v>
      </c>
      <c r="K40">
        <v>45.2</v>
      </c>
      <c r="L40">
        <v>45.23</v>
      </c>
      <c r="M40">
        <v>45.25</v>
      </c>
      <c r="N40">
        <f t="shared" si="0"/>
        <v>547.95000000000005</v>
      </c>
      <c r="O40">
        <f t="shared" si="1"/>
        <v>50</v>
      </c>
    </row>
    <row r="41" spans="1:15" x14ac:dyDescent="0.25">
      <c r="A41" s="1" t="s">
        <v>39</v>
      </c>
      <c r="B41">
        <v>44.36</v>
      </c>
      <c r="C41">
        <v>45.02</v>
      </c>
      <c r="D41">
        <v>46.36</v>
      </c>
      <c r="E41">
        <v>49.17</v>
      </c>
      <c r="F41">
        <v>49.46</v>
      </c>
      <c r="G41">
        <v>49.75</v>
      </c>
      <c r="H41">
        <v>42.7</v>
      </c>
      <c r="I41">
        <v>42.73</v>
      </c>
      <c r="J41">
        <v>42.77</v>
      </c>
      <c r="K41">
        <v>45.07</v>
      </c>
      <c r="L41">
        <v>45.09</v>
      </c>
      <c r="M41">
        <v>45.11</v>
      </c>
      <c r="N41">
        <f t="shared" si="0"/>
        <v>547.59</v>
      </c>
      <c r="O41">
        <f t="shared" si="1"/>
        <v>50</v>
      </c>
    </row>
    <row r="42" spans="1:15" x14ac:dyDescent="0.25">
      <c r="A42" s="1" t="s">
        <v>40</v>
      </c>
      <c r="B42">
        <v>44.44</v>
      </c>
      <c r="C42">
        <v>45.1</v>
      </c>
      <c r="D42">
        <v>46.44</v>
      </c>
      <c r="E42">
        <v>49.26</v>
      </c>
      <c r="F42">
        <v>49.55</v>
      </c>
      <c r="G42">
        <v>49.84</v>
      </c>
      <c r="H42">
        <v>42.86</v>
      </c>
      <c r="I42">
        <v>42.9</v>
      </c>
      <c r="J42">
        <v>42.93</v>
      </c>
      <c r="K42">
        <v>45.13</v>
      </c>
      <c r="L42">
        <v>45.15</v>
      </c>
      <c r="M42">
        <v>45.18</v>
      </c>
      <c r="N42">
        <f t="shared" si="0"/>
        <v>548.78</v>
      </c>
      <c r="O42">
        <f t="shared" si="1"/>
        <v>50</v>
      </c>
    </row>
    <row r="43" spans="1:15" x14ac:dyDescent="0.25">
      <c r="A43" s="1" t="s">
        <v>41</v>
      </c>
      <c r="B43">
        <v>44.03</v>
      </c>
      <c r="C43">
        <v>44.68</v>
      </c>
      <c r="D43">
        <v>46.02</v>
      </c>
      <c r="E43">
        <v>48.39</v>
      </c>
      <c r="F43">
        <v>48.67</v>
      </c>
      <c r="G43">
        <v>48.96</v>
      </c>
      <c r="H43">
        <v>42.08</v>
      </c>
      <c r="I43">
        <v>42.11</v>
      </c>
      <c r="J43">
        <v>42.15</v>
      </c>
      <c r="K43">
        <v>44.73</v>
      </c>
      <c r="L43">
        <v>44.75</v>
      </c>
      <c r="M43">
        <v>44.77</v>
      </c>
      <c r="N43">
        <f t="shared" si="0"/>
        <v>541.34</v>
      </c>
      <c r="O43">
        <f t="shared" si="1"/>
        <v>50</v>
      </c>
    </row>
    <row r="44" spans="1:15" x14ac:dyDescent="0.25">
      <c r="A44" s="1" t="s">
        <v>42</v>
      </c>
      <c r="B44">
        <v>43.32</v>
      </c>
      <c r="C44">
        <v>43.97</v>
      </c>
      <c r="D44">
        <v>45.28</v>
      </c>
      <c r="E44">
        <v>47.45</v>
      </c>
      <c r="F44">
        <v>47.73</v>
      </c>
      <c r="G44">
        <v>48.01</v>
      </c>
      <c r="H44">
        <v>41.25</v>
      </c>
      <c r="I44">
        <v>41.28</v>
      </c>
      <c r="J44">
        <v>41.31</v>
      </c>
      <c r="K44">
        <v>43.75</v>
      </c>
      <c r="L44">
        <v>43.77</v>
      </c>
      <c r="M44">
        <v>43.79</v>
      </c>
      <c r="N44">
        <f t="shared" si="0"/>
        <v>530.91</v>
      </c>
      <c r="O44">
        <f t="shared" si="1"/>
        <v>50</v>
      </c>
    </row>
    <row r="45" spans="1:15" x14ac:dyDescent="0.25">
      <c r="A45" s="1" t="s">
        <v>43</v>
      </c>
      <c r="B45">
        <v>42.22</v>
      </c>
      <c r="C45">
        <v>42.86</v>
      </c>
      <c r="D45">
        <v>44.14</v>
      </c>
      <c r="E45">
        <v>45.87</v>
      </c>
      <c r="F45">
        <v>46.14</v>
      </c>
      <c r="G45">
        <v>46.42</v>
      </c>
      <c r="H45">
        <v>40.28</v>
      </c>
      <c r="I45">
        <v>40.31</v>
      </c>
      <c r="J45">
        <v>40.340000000000003</v>
      </c>
      <c r="K45">
        <v>43.32</v>
      </c>
      <c r="L45">
        <v>43.34</v>
      </c>
      <c r="M45">
        <v>43.37</v>
      </c>
      <c r="N45">
        <f t="shared" si="0"/>
        <v>518.61</v>
      </c>
      <c r="O45">
        <f t="shared" si="1"/>
        <v>50</v>
      </c>
    </row>
    <row r="46" spans="1:15" x14ac:dyDescent="0.25">
      <c r="A46" s="1" t="s">
        <v>44</v>
      </c>
      <c r="B46">
        <v>41.3</v>
      </c>
      <c r="C46">
        <v>41.92</v>
      </c>
      <c r="D46">
        <v>43.17</v>
      </c>
      <c r="E46">
        <v>44.9</v>
      </c>
      <c r="F46">
        <v>45.17</v>
      </c>
      <c r="G46">
        <v>45.43</v>
      </c>
      <c r="H46">
        <v>39.340000000000003</v>
      </c>
      <c r="I46">
        <v>39.369999999999997</v>
      </c>
      <c r="J46">
        <v>39.4</v>
      </c>
      <c r="K46">
        <v>42.92</v>
      </c>
      <c r="L46">
        <v>42.94</v>
      </c>
      <c r="M46">
        <v>42.97</v>
      </c>
      <c r="N46">
        <f t="shared" si="0"/>
        <v>508.83000000000004</v>
      </c>
      <c r="O46">
        <f t="shared" si="1"/>
        <v>50</v>
      </c>
    </row>
    <row r="47" spans="1:15" x14ac:dyDescent="0.25">
      <c r="A47" s="1" t="s">
        <v>45</v>
      </c>
      <c r="B47">
        <v>42.07</v>
      </c>
      <c r="C47">
        <v>42.7</v>
      </c>
      <c r="D47">
        <v>43.98</v>
      </c>
      <c r="E47">
        <v>45.77</v>
      </c>
      <c r="F47">
        <v>46.04</v>
      </c>
      <c r="G47">
        <v>46.32</v>
      </c>
      <c r="H47">
        <v>40.340000000000003</v>
      </c>
      <c r="I47">
        <v>40.369999999999997</v>
      </c>
      <c r="J47">
        <v>40.409999999999997</v>
      </c>
      <c r="K47">
        <v>43.89</v>
      </c>
      <c r="L47">
        <v>43.92</v>
      </c>
      <c r="M47">
        <v>43.94</v>
      </c>
      <c r="N47">
        <f t="shared" si="0"/>
        <v>519.75</v>
      </c>
      <c r="O47">
        <f t="shared" si="1"/>
        <v>50</v>
      </c>
    </row>
    <row r="48" spans="1:15" x14ac:dyDescent="0.25">
      <c r="A48" s="1" t="s">
        <v>46</v>
      </c>
      <c r="B48">
        <v>41.48</v>
      </c>
      <c r="C48">
        <v>42.1</v>
      </c>
      <c r="D48">
        <v>43.37</v>
      </c>
      <c r="E48">
        <v>45.06</v>
      </c>
      <c r="F48">
        <v>45.33</v>
      </c>
      <c r="G48">
        <v>45.6</v>
      </c>
      <c r="H48">
        <v>39.65</v>
      </c>
      <c r="I48">
        <v>39.68</v>
      </c>
      <c r="J48">
        <v>39.71</v>
      </c>
      <c r="K48">
        <v>43.62</v>
      </c>
      <c r="L48">
        <v>43.65</v>
      </c>
      <c r="M48">
        <v>43.67</v>
      </c>
      <c r="N48">
        <f t="shared" si="0"/>
        <v>512.91999999999996</v>
      </c>
      <c r="O48">
        <f t="shared" si="1"/>
        <v>50</v>
      </c>
    </row>
    <row r="49" spans="1:15" x14ac:dyDescent="0.25">
      <c r="A49" s="1" t="s">
        <v>47</v>
      </c>
      <c r="B49">
        <v>40.880000000000003</v>
      </c>
      <c r="C49">
        <v>41.49</v>
      </c>
      <c r="D49">
        <v>42.73</v>
      </c>
      <c r="E49">
        <v>44.22</v>
      </c>
      <c r="F49">
        <v>44.48</v>
      </c>
      <c r="G49">
        <v>44.75</v>
      </c>
      <c r="H49">
        <v>39.19</v>
      </c>
      <c r="I49">
        <v>39.22</v>
      </c>
      <c r="J49">
        <v>39.25</v>
      </c>
      <c r="K49">
        <v>42.79</v>
      </c>
      <c r="L49">
        <v>42.82</v>
      </c>
      <c r="M49">
        <v>42.84</v>
      </c>
      <c r="N49">
        <f t="shared" si="0"/>
        <v>504.65999999999997</v>
      </c>
      <c r="O49">
        <f t="shared" si="1"/>
        <v>50</v>
      </c>
    </row>
    <row r="50" spans="1:15" x14ac:dyDescent="0.25">
      <c r="A50" s="1" t="s">
        <v>48</v>
      </c>
      <c r="B50">
        <v>41.14</v>
      </c>
      <c r="C50">
        <v>41.76</v>
      </c>
      <c r="D50">
        <v>43.01</v>
      </c>
      <c r="E50">
        <v>43.98</v>
      </c>
      <c r="F50">
        <v>44.25</v>
      </c>
      <c r="G50">
        <v>44.51</v>
      </c>
      <c r="H50">
        <v>39.299999999999997</v>
      </c>
      <c r="I50">
        <v>39.33</v>
      </c>
      <c r="J50">
        <v>39.369999999999997</v>
      </c>
      <c r="K50">
        <v>41.98</v>
      </c>
      <c r="L50">
        <v>42.01</v>
      </c>
      <c r="M50">
        <v>42.03</v>
      </c>
      <c r="N50">
        <f t="shared" si="0"/>
        <v>502.66999999999996</v>
      </c>
      <c r="O50">
        <f t="shared" si="1"/>
        <v>50</v>
      </c>
    </row>
    <row r="51" spans="1:15" x14ac:dyDescent="0.25">
      <c r="A51" s="1" t="s">
        <v>49</v>
      </c>
      <c r="B51">
        <v>41.97</v>
      </c>
      <c r="C51">
        <v>42.6</v>
      </c>
      <c r="D51">
        <v>43.88</v>
      </c>
      <c r="E51">
        <v>45.05</v>
      </c>
      <c r="F51">
        <v>45.32</v>
      </c>
      <c r="G51">
        <v>45.59</v>
      </c>
      <c r="H51">
        <v>40.04</v>
      </c>
      <c r="I51">
        <v>40.07</v>
      </c>
      <c r="J51">
        <v>40.1</v>
      </c>
      <c r="K51">
        <v>42.72</v>
      </c>
      <c r="L51">
        <v>42.75</v>
      </c>
      <c r="M51">
        <v>42.78</v>
      </c>
      <c r="N51">
        <f t="shared" si="0"/>
        <v>512.87</v>
      </c>
      <c r="O51">
        <f t="shared" si="1"/>
        <v>50</v>
      </c>
    </row>
    <row r="52" spans="1:15" x14ac:dyDescent="0.25">
      <c r="A52" s="1" t="s">
        <v>50</v>
      </c>
      <c r="B52">
        <v>42.52</v>
      </c>
      <c r="C52">
        <v>43.16</v>
      </c>
      <c r="D52">
        <v>44.46</v>
      </c>
      <c r="E52">
        <v>45.73</v>
      </c>
      <c r="F52">
        <v>46</v>
      </c>
      <c r="G52">
        <v>46.28</v>
      </c>
      <c r="H52">
        <v>40.22</v>
      </c>
      <c r="I52">
        <v>40.26</v>
      </c>
      <c r="J52">
        <v>40.29</v>
      </c>
      <c r="K52">
        <v>42.93</v>
      </c>
      <c r="L52">
        <v>42.95</v>
      </c>
      <c r="M52">
        <v>42.98</v>
      </c>
      <c r="N52">
        <f t="shared" si="0"/>
        <v>517.78</v>
      </c>
      <c r="O52">
        <f t="shared" si="1"/>
        <v>50</v>
      </c>
    </row>
    <row r="53" spans="1:15" x14ac:dyDescent="0.25">
      <c r="A53" s="1" t="s">
        <v>51</v>
      </c>
      <c r="B53">
        <v>41.29</v>
      </c>
      <c r="C53">
        <v>41.91</v>
      </c>
      <c r="D53">
        <v>43.17</v>
      </c>
      <c r="E53">
        <v>44.34</v>
      </c>
      <c r="F53">
        <v>44.61</v>
      </c>
      <c r="G53">
        <v>44.88</v>
      </c>
      <c r="H53">
        <v>39.270000000000003</v>
      </c>
      <c r="I53">
        <v>39.299999999999997</v>
      </c>
      <c r="J53">
        <v>39.340000000000003</v>
      </c>
      <c r="K53">
        <v>42.58</v>
      </c>
      <c r="L53">
        <v>42.61</v>
      </c>
      <c r="M53">
        <v>42.63</v>
      </c>
      <c r="N53">
        <f t="shared" si="0"/>
        <v>505.93</v>
      </c>
      <c r="O53">
        <f t="shared" si="1"/>
        <v>50</v>
      </c>
    </row>
    <row r="54" spans="1:15" x14ac:dyDescent="0.25">
      <c r="A54" s="1" t="s">
        <v>52</v>
      </c>
      <c r="B54">
        <v>40.97</v>
      </c>
      <c r="C54">
        <v>41.59</v>
      </c>
      <c r="D54">
        <v>42.84</v>
      </c>
      <c r="E54">
        <v>44.12</v>
      </c>
      <c r="F54">
        <v>44.38</v>
      </c>
      <c r="G54">
        <v>44.65</v>
      </c>
      <c r="H54">
        <v>39.15</v>
      </c>
      <c r="I54">
        <v>39.19</v>
      </c>
      <c r="J54">
        <v>39.22</v>
      </c>
      <c r="K54">
        <v>42.15</v>
      </c>
      <c r="L54">
        <v>42.18</v>
      </c>
      <c r="M54">
        <v>42.21</v>
      </c>
      <c r="N54">
        <f t="shared" si="0"/>
        <v>502.65</v>
      </c>
      <c r="O54">
        <f t="shared" si="1"/>
        <v>50</v>
      </c>
    </row>
    <row r="55" spans="1:15" x14ac:dyDescent="0.25">
      <c r="A55" s="1" t="s">
        <v>53</v>
      </c>
      <c r="B55">
        <v>39.299999999999997</v>
      </c>
      <c r="C55">
        <v>39.89</v>
      </c>
      <c r="D55">
        <v>41.1</v>
      </c>
      <c r="E55">
        <v>41.65</v>
      </c>
      <c r="F55">
        <v>41.91</v>
      </c>
      <c r="G55">
        <v>42.16</v>
      </c>
      <c r="H55">
        <v>37.58</v>
      </c>
      <c r="I55">
        <v>37.619999999999997</v>
      </c>
      <c r="J55">
        <v>37.65</v>
      </c>
      <c r="K55">
        <v>40.35</v>
      </c>
      <c r="L55">
        <v>40.380000000000003</v>
      </c>
      <c r="M55">
        <v>40.409999999999997</v>
      </c>
      <c r="N55">
        <f t="shared" si="0"/>
        <v>480</v>
      </c>
      <c r="O55">
        <f t="shared" si="1"/>
        <v>50</v>
      </c>
    </row>
    <row r="56" spans="1:15" x14ac:dyDescent="0.25">
      <c r="A56" s="1" t="s">
        <v>54</v>
      </c>
      <c r="B56">
        <v>40.57</v>
      </c>
      <c r="C56">
        <v>41.18</v>
      </c>
      <c r="D56">
        <v>42.43</v>
      </c>
      <c r="E56">
        <v>42.77</v>
      </c>
      <c r="F56">
        <v>43.03</v>
      </c>
      <c r="G56">
        <v>43.29</v>
      </c>
      <c r="H56">
        <v>38.6</v>
      </c>
      <c r="I56">
        <v>38.630000000000003</v>
      </c>
      <c r="J56">
        <v>38.67</v>
      </c>
      <c r="K56">
        <v>41.03</v>
      </c>
      <c r="L56">
        <v>41.06</v>
      </c>
      <c r="M56">
        <v>41.09</v>
      </c>
      <c r="N56">
        <f t="shared" si="0"/>
        <v>492.35</v>
      </c>
      <c r="O56">
        <f t="shared" si="1"/>
        <v>50</v>
      </c>
    </row>
    <row r="57" spans="1:15" x14ac:dyDescent="0.25">
      <c r="A57" s="1" t="s">
        <v>55</v>
      </c>
      <c r="B57">
        <v>40.700000000000003</v>
      </c>
      <c r="C57">
        <v>41.32</v>
      </c>
      <c r="D57">
        <v>42.57</v>
      </c>
      <c r="E57">
        <v>42.88</v>
      </c>
      <c r="F57">
        <v>43.14</v>
      </c>
      <c r="G57">
        <v>43.41</v>
      </c>
      <c r="H57">
        <v>38.71</v>
      </c>
      <c r="I57">
        <v>38.75</v>
      </c>
      <c r="J57">
        <v>38.79</v>
      </c>
      <c r="K57">
        <v>40.29</v>
      </c>
      <c r="L57">
        <v>40.32</v>
      </c>
      <c r="M57">
        <v>40.35</v>
      </c>
      <c r="N57">
        <f t="shared" si="0"/>
        <v>491.23000000000008</v>
      </c>
      <c r="O57">
        <f t="shared" si="1"/>
        <v>50</v>
      </c>
    </row>
    <row r="58" spans="1:15" x14ac:dyDescent="0.25">
      <c r="A58" s="1" t="s">
        <v>56</v>
      </c>
      <c r="B58">
        <v>40.07</v>
      </c>
      <c r="C58">
        <v>40.68</v>
      </c>
      <c r="D58">
        <v>41.91</v>
      </c>
      <c r="E58">
        <v>42.67</v>
      </c>
      <c r="F58">
        <v>42.93</v>
      </c>
      <c r="G58">
        <v>43.19</v>
      </c>
      <c r="H58">
        <v>38.520000000000003</v>
      </c>
      <c r="I58">
        <v>38.56</v>
      </c>
      <c r="J58">
        <v>38.590000000000003</v>
      </c>
      <c r="K58">
        <v>39.46</v>
      </c>
      <c r="L58">
        <v>39.49</v>
      </c>
      <c r="M58">
        <v>39.520000000000003</v>
      </c>
      <c r="N58">
        <f t="shared" si="0"/>
        <v>485.59</v>
      </c>
      <c r="O58">
        <f t="shared" si="1"/>
        <v>50</v>
      </c>
    </row>
    <row r="59" spans="1:15" x14ac:dyDescent="0.25">
      <c r="A59" s="1" t="s">
        <v>57</v>
      </c>
      <c r="B59">
        <v>41.31</v>
      </c>
      <c r="C59">
        <v>41.94</v>
      </c>
      <c r="D59">
        <v>43.21</v>
      </c>
      <c r="E59">
        <v>43.98</v>
      </c>
      <c r="F59">
        <v>44.25</v>
      </c>
      <c r="G59">
        <v>44.53</v>
      </c>
      <c r="H59">
        <v>39.869999999999997</v>
      </c>
      <c r="I59">
        <v>39.909999999999997</v>
      </c>
      <c r="J59">
        <v>39.950000000000003</v>
      </c>
      <c r="K59">
        <v>40.659999999999997</v>
      </c>
      <c r="L59">
        <v>40.700000000000003</v>
      </c>
      <c r="M59">
        <v>40.729999999999997</v>
      </c>
      <c r="N59">
        <f t="shared" si="0"/>
        <v>501.04</v>
      </c>
      <c r="O59">
        <f t="shared" si="1"/>
        <v>50</v>
      </c>
    </row>
    <row r="60" spans="1:15" x14ac:dyDescent="0.25">
      <c r="A60" s="1" t="s">
        <v>58</v>
      </c>
      <c r="B60">
        <v>41.42</v>
      </c>
      <c r="C60">
        <v>42.05</v>
      </c>
      <c r="D60">
        <v>43.33</v>
      </c>
      <c r="E60">
        <v>43.4</v>
      </c>
      <c r="F60">
        <v>43.67</v>
      </c>
      <c r="G60">
        <v>43.95</v>
      </c>
      <c r="H60">
        <v>39.68</v>
      </c>
      <c r="I60">
        <v>39.72</v>
      </c>
      <c r="J60">
        <v>39.75</v>
      </c>
      <c r="K60">
        <v>41.17</v>
      </c>
      <c r="L60">
        <v>41.21</v>
      </c>
      <c r="M60">
        <v>41.24</v>
      </c>
      <c r="N60">
        <f t="shared" si="0"/>
        <v>500.59000000000003</v>
      </c>
      <c r="O60">
        <f t="shared" si="1"/>
        <v>50</v>
      </c>
    </row>
    <row r="61" spans="1:15" x14ac:dyDescent="0.25">
      <c r="A61" s="1" t="s">
        <v>59</v>
      </c>
      <c r="B61">
        <v>42.07</v>
      </c>
      <c r="C61">
        <v>42.71</v>
      </c>
      <c r="D61">
        <v>44</v>
      </c>
      <c r="E61">
        <v>44.15</v>
      </c>
      <c r="F61">
        <v>44.43</v>
      </c>
      <c r="G61">
        <v>44.71</v>
      </c>
      <c r="H61">
        <v>40.17</v>
      </c>
      <c r="I61">
        <v>40.21</v>
      </c>
      <c r="J61">
        <v>40.25</v>
      </c>
      <c r="K61">
        <v>42.29</v>
      </c>
      <c r="L61">
        <v>42.33</v>
      </c>
      <c r="M61">
        <v>42.36</v>
      </c>
      <c r="N61">
        <f t="shared" si="0"/>
        <v>509.68</v>
      </c>
      <c r="O61">
        <f t="shared" si="1"/>
        <v>50</v>
      </c>
    </row>
    <row r="62" spans="1:15" x14ac:dyDescent="0.25">
      <c r="A62" s="1" t="s">
        <v>60</v>
      </c>
      <c r="B62">
        <v>42.03</v>
      </c>
      <c r="C62">
        <v>42.68</v>
      </c>
      <c r="D62">
        <v>43.97</v>
      </c>
      <c r="E62">
        <v>43.97</v>
      </c>
      <c r="F62">
        <v>44.25</v>
      </c>
      <c r="G62">
        <v>44.53</v>
      </c>
      <c r="H62">
        <v>40.18</v>
      </c>
      <c r="I62">
        <v>40.22</v>
      </c>
      <c r="J62">
        <v>40.26</v>
      </c>
      <c r="K62">
        <v>42.49</v>
      </c>
      <c r="L62">
        <v>42.53</v>
      </c>
      <c r="M62">
        <v>42.57</v>
      </c>
      <c r="N62">
        <f t="shared" si="0"/>
        <v>509.68</v>
      </c>
      <c r="O62">
        <f t="shared" si="1"/>
        <v>50</v>
      </c>
    </row>
    <row r="63" spans="1:15" x14ac:dyDescent="0.25">
      <c r="A63" s="1" t="s">
        <v>61</v>
      </c>
      <c r="B63">
        <v>41.69</v>
      </c>
      <c r="C63">
        <v>42.33</v>
      </c>
      <c r="D63">
        <v>43.62</v>
      </c>
      <c r="E63">
        <v>42.98</v>
      </c>
      <c r="F63">
        <v>43.26</v>
      </c>
      <c r="G63">
        <v>43.53</v>
      </c>
      <c r="H63">
        <v>39.6</v>
      </c>
      <c r="I63">
        <v>39.64</v>
      </c>
      <c r="J63">
        <v>39.68</v>
      </c>
      <c r="K63">
        <v>42.35</v>
      </c>
      <c r="L63">
        <v>42.39</v>
      </c>
      <c r="M63">
        <v>42.43</v>
      </c>
      <c r="N63">
        <f t="shared" si="0"/>
        <v>503.5</v>
      </c>
      <c r="O63">
        <f t="shared" si="1"/>
        <v>50</v>
      </c>
    </row>
    <row r="64" spans="1:15" x14ac:dyDescent="0.25">
      <c r="A64" s="1" t="s">
        <v>62</v>
      </c>
      <c r="B64">
        <v>42.45</v>
      </c>
      <c r="C64">
        <v>43.1</v>
      </c>
      <c r="D64">
        <v>44.41</v>
      </c>
      <c r="E64">
        <v>44.04</v>
      </c>
      <c r="F64">
        <v>44.32</v>
      </c>
      <c r="G64">
        <v>44.6</v>
      </c>
      <c r="H64">
        <v>40.58</v>
      </c>
      <c r="I64">
        <v>40.619999999999997</v>
      </c>
      <c r="J64">
        <v>40.659999999999997</v>
      </c>
      <c r="K64">
        <v>43.2</v>
      </c>
      <c r="L64">
        <v>43.24</v>
      </c>
      <c r="M64">
        <v>43.28</v>
      </c>
      <c r="N64">
        <f t="shared" si="0"/>
        <v>514.5</v>
      </c>
      <c r="O64">
        <f t="shared" si="1"/>
        <v>50</v>
      </c>
    </row>
    <row r="65" spans="1:15" x14ac:dyDescent="0.25">
      <c r="A65" s="1" t="s">
        <v>63</v>
      </c>
      <c r="B65">
        <v>42.7</v>
      </c>
      <c r="C65">
        <v>43.36</v>
      </c>
      <c r="D65">
        <v>44.68</v>
      </c>
      <c r="E65">
        <v>44.9</v>
      </c>
      <c r="F65">
        <v>45.19</v>
      </c>
      <c r="G65">
        <v>45.48</v>
      </c>
      <c r="H65">
        <v>41.2</v>
      </c>
      <c r="I65">
        <v>41.24</v>
      </c>
      <c r="J65">
        <v>41.28</v>
      </c>
      <c r="K65">
        <v>42.94</v>
      </c>
      <c r="L65">
        <v>42.98</v>
      </c>
      <c r="M65">
        <v>43.02</v>
      </c>
      <c r="N65">
        <f t="shared" si="0"/>
        <v>518.97</v>
      </c>
      <c r="O65">
        <f t="shared" si="1"/>
        <v>50</v>
      </c>
    </row>
    <row r="66" spans="1:15" x14ac:dyDescent="0.25">
      <c r="A66" s="1" t="s">
        <v>64</v>
      </c>
      <c r="B66">
        <v>42.28</v>
      </c>
      <c r="C66">
        <v>42.93</v>
      </c>
      <c r="D66">
        <v>44.24</v>
      </c>
      <c r="E66">
        <v>44.14</v>
      </c>
      <c r="F66">
        <v>44.42</v>
      </c>
      <c r="G66">
        <v>44.7</v>
      </c>
      <c r="H66">
        <v>40.56</v>
      </c>
      <c r="I66">
        <v>40.6</v>
      </c>
      <c r="J66">
        <v>40.64</v>
      </c>
      <c r="K66">
        <v>43.04</v>
      </c>
      <c r="L66">
        <v>43.08</v>
      </c>
      <c r="M66">
        <v>43.12</v>
      </c>
      <c r="N66">
        <f t="shared" si="0"/>
        <v>513.75</v>
      </c>
      <c r="O66">
        <f t="shared" si="1"/>
        <v>50</v>
      </c>
    </row>
    <row r="67" spans="1:15" x14ac:dyDescent="0.25">
      <c r="A67" s="1" t="s">
        <v>65</v>
      </c>
      <c r="B67">
        <v>42.72</v>
      </c>
      <c r="C67">
        <v>43.38</v>
      </c>
      <c r="D67">
        <v>44.7</v>
      </c>
      <c r="E67">
        <v>44.33</v>
      </c>
      <c r="F67">
        <v>44.61</v>
      </c>
      <c r="G67">
        <v>44.9</v>
      </c>
      <c r="H67">
        <v>40.64</v>
      </c>
      <c r="I67">
        <v>40.68</v>
      </c>
      <c r="J67">
        <v>40.729999999999997</v>
      </c>
      <c r="K67">
        <v>43.57</v>
      </c>
      <c r="L67">
        <v>43.62</v>
      </c>
      <c r="M67">
        <v>43.66</v>
      </c>
      <c r="N67">
        <f t="shared" ref="N67:N130" si="4">SUM(B67:M67)</f>
        <v>517.54</v>
      </c>
      <c r="O67">
        <f t="shared" ref="O67:O130" si="5">IF(COUNTIF(B67:M67,"&gt;33")=12,50,0)</f>
        <v>50</v>
      </c>
    </row>
    <row r="68" spans="1:15" x14ac:dyDescent="0.25">
      <c r="A68" s="1" t="s">
        <v>66</v>
      </c>
      <c r="B68">
        <v>43.05</v>
      </c>
      <c r="C68">
        <v>43.71</v>
      </c>
      <c r="D68">
        <v>45.04</v>
      </c>
      <c r="E68">
        <v>45.11</v>
      </c>
      <c r="F68">
        <v>45.4</v>
      </c>
      <c r="G68">
        <v>45.69</v>
      </c>
      <c r="H68">
        <v>40.9</v>
      </c>
      <c r="I68">
        <v>40.94</v>
      </c>
      <c r="J68">
        <v>40.98</v>
      </c>
      <c r="K68">
        <v>43.99</v>
      </c>
      <c r="L68">
        <v>44.03</v>
      </c>
      <c r="M68">
        <v>44.08</v>
      </c>
      <c r="N68">
        <f t="shared" si="4"/>
        <v>522.92000000000007</v>
      </c>
      <c r="O68">
        <f t="shared" si="5"/>
        <v>50</v>
      </c>
    </row>
    <row r="69" spans="1:15" x14ac:dyDescent="0.25">
      <c r="A69" s="1" t="s">
        <v>67</v>
      </c>
      <c r="B69">
        <v>42.74</v>
      </c>
      <c r="C69">
        <v>43.4</v>
      </c>
      <c r="D69">
        <v>44.73</v>
      </c>
      <c r="E69">
        <v>44.73</v>
      </c>
      <c r="F69">
        <v>45.02</v>
      </c>
      <c r="G69">
        <v>45.31</v>
      </c>
      <c r="H69">
        <v>40.53</v>
      </c>
      <c r="I69">
        <v>40.58</v>
      </c>
      <c r="J69">
        <v>40.619999999999997</v>
      </c>
      <c r="K69">
        <v>43.59</v>
      </c>
      <c r="L69">
        <v>43.64</v>
      </c>
      <c r="M69">
        <v>43.68</v>
      </c>
      <c r="N69">
        <f t="shared" si="4"/>
        <v>518.56999999999994</v>
      </c>
      <c r="O69">
        <f t="shared" si="5"/>
        <v>50</v>
      </c>
    </row>
    <row r="70" spans="1:15" x14ac:dyDescent="0.25">
      <c r="A70" s="1" t="s">
        <v>68</v>
      </c>
      <c r="B70">
        <v>42.91</v>
      </c>
      <c r="C70">
        <v>43.57</v>
      </c>
      <c r="D70">
        <v>44.9</v>
      </c>
      <c r="E70">
        <v>44.76</v>
      </c>
      <c r="F70">
        <v>45.05</v>
      </c>
      <c r="G70">
        <v>45.34</v>
      </c>
      <c r="H70">
        <v>40.53</v>
      </c>
      <c r="I70">
        <v>40.57</v>
      </c>
      <c r="J70">
        <v>40.61</v>
      </c>
      <c r="K70">
        <v>43.3</v>
      </c>
      <c r="L70">
        <v>43.34</v>
      </c>
      <c r="M70">
        <v>43.39</v>
      </c>
      <c r="N70">
        <f t="shared" si="4"/>
        <v>518.27</v>
      </c>
      <c r="O70">
        <f t="shared" si="5"/>
        <v>50</v>
      </c>
    </row>
    <row r="71" spans="1:15" x14ac:dyDescent="0.25">
      <c r="A71" s="1" t="s">
        <v>69</v>
      </c>
      <c r="B71">
        <v>42.27</v>
      </c>
      <c r="C71">
        <v>42.92</v>
      </c>
      <c r="D71">
        <v>44.23</v>
      </c>
      <c r="E71">
        <v>43.61</v>
      </c>
      <c r="F71">
        <v>43.89</v>
      </c>
      <c r="G71">
        <v>44.17</v>
      </c>
      <c r="H71">
        <v>39.729999999999997</v>
      </c>
      <c r="I71">
        <v>39.770000000000003</v>
      </c>
      <c r="J71">
        <v>39.82</v>
      </c>
      <c r="K71">
        <v>42.99</v>
      </c>
      <c r="L71">
        <v>43.04</v>
      </c>
      <c r="M71">
        <v>43.08</v>
      </c>
      <c r="N71">
        <f t="shared" si="4"/>
        <v>509.52</v>
      </c>
      <c r="O71">
        <f t="shared" si="5"/>
        <v>50</v>
      </c>
    </row>
    <row r="72" spans="1:15" x14ac:dyDescent="0.25">
      <c r="A72" s="1" t="s">
        <v>70</v>
      </c>
      <c r="B72">
        <v>41.55</v>
      </c>
      <c r="C72">
        <v>42.2</v>
      </c>
      <c r="D72">
        <v>43.49</v>
      </c>
      <c r="E72">
        <v>42.91</v>
      </c>
      <c r="F72">
        <v>43.19</v>
      </c>
      <c r="G72">
        <v>43.47</v>
      </c>
      <c r="H72">
        <v>38.979999999999997</v>
      </c>
      <c r="I72">
        <v>39.03</v>
      </c>
      <c r="J72">
        <v>39.07</v>
      </c>
      <c r="K72">
        <v>42.51</v>
      </c>
      <c r="L72">
        <v>42.56</v>
      </c>
      <c r="M72">
        <v>42.6</v>
      </c>
      <c r="N72">
        <f t="shared" si="4"/>
        <v>501.56000000000006</v>
      </c>
      <c r="O72">
        <f t="shared" si="5"/>
        <v>50</v>
      </c>
    </row>
    <row r="73" spans="1:15" x14ac:dyDescent="0.25">
      <c r="A73" s="1" t="s">
        <v>71</v>
      </c>
      <c r="B73">
        <v>41.12</v>
      </c>
      <c r="C73">
        <v>41.76</v>
      </c>
      <c r="D73">
        <v>43.03</v>
      </c>
      <c r="E73">
        <v>42.57</v>
      </c>
      <c r="F73">
        <v>42.84</v>
      </c>
      <c r="G73">
        <v>43.12</v>
      </c>
      <c r="H73">
        <v>38.85</v>
      </c>
      <c r="I73">
        <v>38.89</v>
      </c>
      <c r="J73">
        <v>38.94</v>
      </c>
      <c r="K73">
        <v>42.36</v>
      </c>
      <c r="L73">
        <v>42.41</v>
      </c>
      <c r="M73">
        <v>42.46</v>
      </c>
      <c r="N73">
        <f t="shared" si="4"/>
        <v>498.34999999999997</v>
      </c>
      <c r="O73">
        <f t="shared" si="5"/>
        <v>50</v>
      </c>
    </row>
    <row r="74" spans="1:15" x14ac:dyDescent="0.25">
      <c r="A74" s="1" t="s">
        <v>72</v>
      </c>
      <c r="B74">
        <v>41.25</v>
      </c>
      <c r="C74">
        <v>41.89</v>
      </c>
      <c r="D74">
        <v>43.17</v>
      </c>
      <c r="E74">
        <v>42.63</v>
      </c>
      <c r="F74">
        <v>42.91</v>
      </c>
      <c r="G74">
        <v>43.19</v>
      </c>
      <c r="H74">
        <v>38.770000000000003</v>
      </c>
      <c r="I74">
        <v>38.81</v>
      </c>
      <c r="J74">
        <v>38.85</v>
      </c>
      <c r="K74">
        <v>42.53</v>
      </c>
      <c r="L74">
        <v>42.58</v>
      </c>
      <c r="M74">
        <v>42.63</v>
      </c>
      <c r="N74">
        <f t="shared" si="4"/>
        <v>499.21</v>
      </c>
      <c r="O74">
        <f t="shared" si="5"/>
        <v>50</v>
      </c>
    </row>
    <row r="75" spans="1:15" x14ac:dyDescent="0.25">
      <c r="A75" s="1" t="s">
        <v>73</v>
      </c>
      <c r="B75">
        <v>41.43</v>
      </c>
      <c r="C75">
        <v>42.07</v>
      </c>
      <c r="D75">
        <v>43.36</v>
      </c>
      <c r="E75">
        <v>42.94</v>
      </c>
      <c r="F75">
        <v>43.22</v>
      </c>
      <c r="G75">
        <v>43.51</v>
      </c>
      <c r="H75">
        <v>39.26</v>
      </c>
      <c r="I75">
        <v>39.31</v>
      </c>
      <c r="J75">
        <v>39.35</v>
      </c>
      <c r="K75">
        <v>43.37</v>
      </c>
      <c r="L75">
        <v>43.42</v>
      </c>
      <c r="M75">
        <v>43.47</v>
      </c>
      <c r="N75">
        <f t="shared" si="4"/>
        <v>504.71000000000004</v>
      </c>
      <c r="O75">
        <f t="shared" si="5"/>
        <v>50</v>
      </c>
    </row>
    <row r="76" spans="1:15" x14ac:dyDescent="0.25">
      <c r="A76" s="1" t="s">
        <v>74</v>
      </c>
      <c r="B76">
        <v>41.35</v>
      </c>
      <c r="C76">
        <v>42</v>
      </c>
      <c r="D76">
        <v>43.28</v>
      </c>
      <c r="E76">
        <v>42.94</v>
      </c>
      <c r="F76">
        <v>43.22</v>
      </c>
      <c r="G76">
        <v>43.51</v>
      </c>
      <c r="H76">
        <v>39.39</v>
      </c>
      <c r="I76">
        <v>39.43</v>
      </c>
      <c r="J76">
        <v>39.479999999999997</v>
      </c>
      <c r="K76">
        <v>43.31</v>
      </c>
      <c r="L76">
        <v>43.36</v>
      </c>
      <c r="M76">
        <v>43.41</v>
      </c>
      <c r="N76">
        <f t="shared" si="4"/>
        <v>504.68000000000006</v>
      </c>
      <c r="O76">
        <f t="shared" si="5"/>
        <v>50</v>
      </c>
    </row>
    <row r="77" spans="1:15" x14ac:dyDescent="0.25">
      <c r="A77" s="1" t="s">
        <v>75</v>
      </c>
      <c r="B77">
        <v>41.88</v>
      </c>
      <c r="C77">
        <v>42.53</v>
      </c>
      <c r="D77">
        <v>43.83</v>
      </c>
      <c r="E77">
        <v>43.65</v>
      </c>
      <c r="F77">
        <v>43.93</v>
      </c>
      <c r="G77">
        <v>44.22</v>
      </c>
      <c r="H77">
        <v>39.869999999999997</v>
      </c>
      <c r="I77">
        <v>39.92</v>
      </c>
      <c r="J77">
        <v>39.96</v>
      </c>
      <c r="K77">
        <v>43.99</v>
      </c>
      <c r="L77">
        <v>44.04</v>
      </c>
      <c r="M77">
        <v>44.09</v>
      </c>
      <c r="N77">
        <f t="shared" si="4"/>
        <v>511.91000000000008</v>
      </c>
      <c r="O77">
        <f t="shared" si="5"/>
        <v>50</v>
      </c>
    </row>
    <row r="78" spans="1:15" x14ac:dyDescent="0.25">
      <c r="A78" s="1" t="s">
        <v>76</v>
      </c>
      <c r="B78">
        <v>41.61</v>
      </c>
      <c r="C78">
        <v>42.25</v>
      </c>
      <c r="D78">
        <v>43.55</v>
      </c>
      <c r="E78">
        <v>43.29</v>
      </c>
      <c r="F78">
        <v>43.57</v>
      </c>
      <c r="G78">
        <v>43.86</v>
      </c>
      <c r="H78">
        <v>39.36</v>
      </c>
      <c r="I78">
        <v>39.409999999999997</v>
      </c>
      <c r="J78">
        <v>39.450000000000003</v>
      </c>
      <c r="K78">
        <v>43.82</v>
      </c>
      <c r="L78">
        <v>43.87</v>
      </c>
      <c r="M78">
        <v>43.92</v>
      </c>
      <c r="N78">
        <f t="shared" si="4"/>
        <v>507.96</v>
      </c>
      <c r="O78">
        <f t="shared" si="5"/>
        <v>50</v>
      </c>
    </row>
    <row r="79" spans="1:15" x14ac:dyDescent="0.25">
      <c r="A79" s="1" t="s">
        <v>77</v>
      </c>
      <c r="B79">
        <v>41.11</v>
      </c>
      <c r="C79">
        <v>41.75</v>
      </c>
      <c r="D79">
        <v>43.04</v>
      </c>
      <c r="E79">
        <v>42.97</v>
      </c>
      <c r="F79">
        <v>43.25</v>
      </c>
      <c r="G79">
        <v>43.54</v>
      </c>
      <c r="H79">
        <v>39</v>
      </c>
      <c r="I79">
        <v>39.04</v>
      </c>
      <c r="J79">
        <v>39.090000000000003</v>
      </c>
      <c r="K79">
        <v>43.84</v>
      </c>
      <c r="L79">
        <v>43.9</v>
      </c>
      <c r="M79">
        <v>43.95</v>
      </c>
      <c r="N79">
        <f t="shared" si="4"/>
        <v>504.47999999999996</v>
      </c>
      <c r="O79">
        <f t="shared" si="5"/>
        <v>50</v>
      </c>
    </row>
    <row r="80" spans="1:15" x14ac:dyDescent="0.25">
      <c r="A80" s="1" t="s">
        <v>78</v>
      </c>
      <c r="B80">
        <v>40.97</v>
      </c>
      <c r="C80">
        <v>41.61</v>
      </c>
      <c r="D80">
        <v>42.89</v>
      </c>
      <c r="E80">
        <v>43</v>
      </c>
      <c r="F80">
        <v>43.28</v>
      </c>
      <c r="G80">
        <v>43.57</v>
      </c>
      <c r="H80">
        <v>38.97</v>
      </c>
      <c r="I80">
        <v>39.01</v>
      </c>
      <c r="J80">
        <v>39.06</v>
      </c>
      <c r="K80">
        <v>44.35</v>
      </c>
      <c r="L80">
        <v>44.41</v>
      </c>
      <c r="M80">
        <v>44.46</v>
      </c>
      <c r="N80">
        <f t="shared" si="4"/>
        <v>505.58</v>
      </c>
      <c r="O80">
        <f t="shared" si="5"/>
        <v>50</v>
      </c>
    </row>
    <row r="81" spans="1:15" x14ac:dyDescent="0.25">
      <c r="A81" s="1" t="s">
        <v>79</v>
      </c>
      <c r="B81">
        <v>41.43</v>
      </c>
      <c r="C81">
        <v>42.08</v>
      </c>
      <c r="D81">
        <v>43.37</v>
      </c>
      <c r="E81">
        <v>43.34</v>
      </c>
      <c r="F81">
        <v>43.63</v>
      </c>
      <c r="G81">
        <v>43.92</v>
      </c>
      <c r="H81">
        <v>39.14</v>
      </c>
      <c r="I81">
        <v>39.19</v>
      </c>
      <c r="J81">
        <v>39.229999999999997</v>
      </c>
      <c r="K81">
        <v>44.7</v>
      </c>
      <c r="L81">
        <v>44.76</v>
      </c>
      <c r="M81">
        <v>44.82</v>
      </c>
      <c r="N81">
        <f t="shared" si="4"/>
        <v>509.60999999999996</v>
      </c>
      <c r="O81">
        <f t="shared" si="5"/>
        <v>50</v>
      </c>
    </row>
    <row r="82" spans="1:15" x14ac:dyDescent="0.25">
      <c r="A82" s="1" t="s">
        <v>80</v>
      </c>
      <c r="B82">
        <v>41.87</v>
      </c>
      <c r="C82">
        <v>42.52</v>
      </c>
      <c r="D82">
        <v>43.83</v>
      </c>
      <c r="E82">
        <v>44.07</v>
      </c>
      <c r="F82">
        <v>44.36</v>
      </c>
      <c r="G82">
        <v>44.65</v>
      </c>
      <c r="H82">
        <v>39.869999999999997</v>
      </c>
      <c r="I82">
        <v>39.909999999999997</v>
      </c>
      <c r="J82">
        <v>39.96</v>
      </c>
      <c r="K82">
        <v>45.26</v>
      </c>
      <c r="L82">
        <v>45.32</v>
      </c>
      <c r="M82">
        <v>45.38</v>
      </c>
      <c r="N82">
        <f t="shared" si="4"/>
        <v>516.99999999999989</v>
      </c>
      <c r="O82">
        <f t="shared" si="5"/>
        <v>50</v>
      </c>
    </row>
    <row r="83" spans="1:15" x14ac:dyDescent="0.25">
      <c r="A83" s="1" t="s">
        <v>81</v>
      </c>
      <c r="B83">
        <v>42.27</v>
      </c>
      <c r="C83">
        <v>42.94</v>
      </c>
      <c r="D83">
        <v>44.26</v>
      </c>
      <c r="E83">
        <v>44.71</v>
      </c>
      <c r="F83">
        <v>45.01</v>
      </c>
      <c r="G83">
        <v>45.31</v>
      </c>
      <c r="H83">
        <v>40.57</v>
      </c>
      <c r="I83">
        <v>40.619999999999997</v>
      </c>
      <c r="J83">
        <v>40.659999999999997</v>
      </c>
      <c r="K83">
        <v>45.57</v>
      </c>
      <c r="L83">
        <v>45.63</v>
      </c>
      <c r="M83">
        <v>45.69</v>
      </c>
      <c r="N83">
        <f t="shared" si="4"/>
        <v>523.24</v>
      </c>
      <c r="O83">
        <f t="shared" si="5"/>
        <v>50</v>
      </c>
    </row>
    <row r="84" spans="1:15" x14ac:dyDescent="0.25">
      <c r="A84" s="1" t="s">
        <v>82</v>
      </c>
      <c r="B84">
        <v>41.91</v>
      </c>
      <c r="C84">
        <v>42.57</v>
      </c>
      <c r="D84">
        <v>43.88</v>
      </c>
      <c r="E84">
        <v>44.67</v>
      </c>
      <c r="F84">
        <v>44.97</v>
      </c>
      <c r="G84">
        <v>45.27</v>
      </c>
      <c r="H84">
        <v>40.33</v>
      </c>
      <c r="I84">
        <v>40.380000000000003</v>
      </c>
      <c r="J84">
        <v>40.43</v>
      </c>
      <c r="K84">
        <v>45.05</v>
      </c>
      <c r="L84">
        <v>45.12</v>
      </c>
      <c r="M84">
        <v>45.17</v>
      </c>
      <c r="N84">
        <f t="shared" si="4"/>
        <v>519.75</v>
      </c>
      <c r="O84">
        <f t="shared" si="5"/>
        <v>50</v>
      </c>
    </row>
    <row r="85" spans="1:15" x14ac:dyDescent="0.25">
      <c r="A85" s="1" t="s">
        <v>83</v>
      </c>
      <c r="B85">
        <v>42.33</v>
      </c>
      <c r="C85">
        <v>43</v>
      </c>
      <c r="D85">
        <v>44.32</v>
      </c>
      <c r="E85">
        <v>45.39</v>
      </c>
      <c r="F85">
        <v>45.69</v>
      </c>
      <c r="G85">
        <v>46</v>
      </c>
      <c r="H85">
        <v>40.94</v>
      </c>
      <c r="I85">
        <v>40.99</v>
      </c>
      <c r="J85">
        <v>41.03</v>
      </c>
      <c r="K85">
        <v>45.5</v>
      </c>
      <c r="L85">
        <v>45.56</v>
      </c>
      <c r="M85">
        <v>45.62</v>
      </c>
      <c r="N85">
        <f t="shared" si="4"/>
        <v>526.37</v>
      </c>
      <c r="O85">
        <f t="shared" si="5"/>
        <v>50</v>
      </c>
    </row>
    <row r="86" spans="1:15" x14ac:dyDescent="0.25">
      <c r="A86" s="1" t="s">
        <v>84</v>
      </c>
      <c r="B86">
        <v>43.02</v>
      </c>
      <c r="C86">
        <v>43.7</v>
      </c>
      <c r="D86">
        <v>45.05</v>
      </c>
      <c r="E86">
        <v>46.23</v>
      </c>
      <c r="F86">
        <v>46.55</v>
      </c>
      <c r="G86">
        <v>46.86</v>
      </c>
      <c r="H86">
        <v>41.78</v>
      </c>
      <c r="I86">
        <v>41.83</v>
      </c>
      <c r="J86">
        <v>41.88</v>
      </c>
      <c r="K86">
        <v>45.74</v>
      </c>
      <c r="L86">
        <v>45.81</v>
      </c>
      <c r="M86">
        <v>45.87</v>
      </c>
      <c r="N86">
        <f t="shared" si="4"/>
        <v>534.31999999999994</v>
      </c>
      <c r="O86">
        <f t="shared" si="5"/>
        <v>50</v>
      </c>
    </row>
    <row r="87" spans="1:15" x14ac:dyDescent="0.25">
      <c r="A87" s="1" t="s">
        <v>85</v>
      </c>
      <c r="B87">
        <v>42.98</v>
      </c>
      <c r="C87">
        <v>43.66</v>
      </c>
      <c r="D87">
        <v>45.01</v>
      </c>
      <c r="E87">
        <v>46.03</v>
      </c>
      <c r="F87">
        <v>46.34</v>
      </c>
      <c r="G87">
        <v>46.65</v>
      </c>
      <c r="H87">
        <v>41.35</v>
      </c>
      <c r="I87">
        <v>41.4</v>
      </c>
      <c r="J87">
        <v>41.45</v>
      </c>
      <c r="K87">
        <v>45.59</v>
      </c>
      <c r="L87">
        <v>45.66</v>
      </c>
      <c r="M87">
        <v>45.72</v>
      </c>
      <c r="N87">
        <f t="shared" si="4"/>
        <v>531.83999999999992</v>
      </c>
      <c r="O87">
        <f t="shared" si="5"/>
        <v>50</v>
      </c>
    </row>
    <row r="88" spans="1:15" x14ac:dyDescent="0.25">
      <c r="A88" s="1" t="s">
        <v>86</v>
      </c>
      <c r="B88">
        <v>43.51</v>
      </c>
      <c r="C88">
        <v>44.2</v>
      </c>
      <c r="D88">
        <v>45.57</v>
      </c>
      <c r="E88">
        <v>46.66</v>
      </c>
      <c r="F88">
        <v>46.98</v>
      </c>
      <c r="G88">
        <v>47.3</v>
      </c>
      <c r="H88">
        <v>42.19</v>
      </c>
      <c r="I88">
        <v>42.24</v>
      </c>
      <c r="J88">
        <v>42.29</v>
      </c>
      <c r="K88">
        <v>45.99</v>
      </c>
      <c r="L88">
        <v>46.05</v>
      </c>
      <c r="M88">
        <v>46.12</v>
      </c>
      <c r="N88">
        <f t="shared" si="4"/>
        <v>539.1</v>
      </c>
      <c r="O88">
        <f t="shared" si="5"/>
        <v>50</v>
      </c>
    </row>
    <row r="89" spans="1:15" x14ac:dyDescent="0.25">
      <c r="A89" s="1" t="s">
        <v>87</v>
      </c>
      <c r="B89">
        <v>42.98</v>
      </c>
      <c r="C89">
        <v>43.66</v>
      </c>
      <c r="D89">
        <v>45.01</v>
      </c>
      <c r="E89">
        <v>45.75</v>
      </c>
      <c r="F89">
        <v>46.06</v>
      </c>
      <c r="G89">
        <v>46.38</v>
      </c>
      <c r="H89">
        <v>41.31</v>
      </c>
      <c r="I89">
        <v>41.37</v>
      </c>
      <c r="J89">
        <v>41.42</v>
      </c>
      <c r="K89">
        <v>46.52</v>
      </c>
      <c r="L89">
        <v>46.59</v>
      </c>
      <c r="M89">
        <v>46.65</v>
      </c>
      <c r="N89">
        <f t="shared" si="4"/>
        <v>533.69999999999993</v>
      </c>
      <c r="O89">
        <f t="shared" si="5"/>
        <v>50</v>
      </c>
    </row>
    <row r="90" spans="1:15" x14ac:dyDescent="0.25">
      <c r="A90" s="1" t="s">
        <v>88</v>
      </c>
      <c r="B90">
        <v>42.66</v>
      </c>
      <c r="C90">
        <v>43.33</v>
      </c>
      <c r="D90">
        <v>44.67</v>
      </c>
      <c r="E90">
        <v>45.23</v>
      </c>
      <c r="F90">
        <v>45.54</v>
      </c>
      <c r="G90">
        <v>45.85</v>
      </c>
      <c r="H90">
        <v>40.97</v>
      </c>
      <c r="I90">
        <v>41.02</v>
      </c>
      <c r="J90">
        <v>41.07</v>
      </c>
      <c r="K90">
        <v>46.27</v>
      </c>
      <c r="L90">
        <v>46.34</v>
      </c>
      <c r="M90">
        <v>46.41</v>
      </c>
      <c r="N90">
        <f t="shared" si="4"/>
        <v>529.3599999999999</v>
      </c>
      <c r="O90">
        <f t="shared" si="5"/>
        <v>50</v>
      </c>
    </row>
    <row r="91" spans="1:15" x14ac:dyDescent="0.25">
      <c r="A91" s="1" t="s">
        <v>89</v>
      </c>
      <c r="B91">
        <v>42.78</v>
      </c>
      <c r="C91">
        <v>43.46</v>
      </c>
      <c r="D91">
        <v>44.81</v>
      </c>
      <c r="E91">
        <v>45.13</v>
      </c>
      <c r="F91">
        <v>45.45</v>
      </c>
      <c r="G91">
        <v>45.76</v>
      </c>
      <c r="H91">
        <v>40.85</v>
      </c>
      <c r="I91">
        <v>40.9</v>
      </c>
      <c r="J91">
        <v>40.950000000000003</v>
      </c>
      <c r="K91">
        <v>46.2</v>
      </c>
      <c r="L91">
        <v>46.27</v>
      </c>
      <c r="M91">
        <v>46.34</v>
      </c>
      <c r="N91">
        <f t="shared" si="4"/>
        <v>528.9</v>
      </c>
      <c r="O91">
        <f t="shared" si="5"/>
        <v>50</v>
      </c>
    </row>
    <row r="92" spans="1:15" x14ac:dyDescent="0.25">
      <c r="A92" s="1" t="s">
        <v>90</v>
      </c>
      <c r="B92">
        <v>42.88</v>
      </c>
      <c r="C92">
        <v>43.56</v>
      </c>
      <c r="D92">
        <v>44.91</v>
      </c>
      <c r="E92">
        <v>45.37</v>
      </c>
      <c r="F92">
        <v>45.69</v>
      </c>
      <c r="G92">
        <v>46</v>
      </c>
      <c r="H92">
        <v>41.08</v>
      </c>
      <c r="I92">
        <v>41.13</v>
      </c>
      <c r="J92">
        <v>41.19</v>
      </c>
      <c r="K92">
        <v>46.6</v>
      </c>
      <c r="L92">
        <v>46.67</v>
      </c>
      <c r="M92">
        <v>46.74</v>
      </c>
      <c r="N92">
        <f t="shared" si="4"/>
        <v>531.81999999999994</v>
      </c>
      <c r="O92">
        <f t="shared" si="5"/>
        <v>50</v>
      </c>
    </row>
    <row r="93" spans="1:15" x14ac:dyDescent="0.25">
      <c r="A93" s="1" t="s">
        <v>91</v>
      </c>
      <c r="B93">
        <v>43.41</v>
      </c>
      <c r="C93">
        <v>44.1</v>
      </c>
      <c r="D93">
        <v>45.46</v>
      </c>
      <c r="E93">
        <v>45.93</v>
      </c>
      <c r="F93">
        <v>46.25</v>
      </c>
      <c r="G93">
        <v>46.57</v>
      </c>
      <c r="H93">
        <v>41.55</v>
      </c>
      <c r="I93">
        <v>41.61</v>
      </c>
      <c r="J93">
        <v>41.66</v>
      </c>
      <c r="K93">
        <v>47.13</v>
      </c>
      <c r="L93">
        <v>47.2</v>
      </c>
      <c r="M93">
        <v>47.27</v>
      </c>
      <c r="N93">
        <f t="shared" si="4"/>
        <v>538.1400000000001</v>
      </c>
      <c r="O93">
        <f t="shared" si="5"/>
        <v>50</v>
      </c>
    </row>
    <row r="94" spans="1:15" x14ac:dyDescent="0.25">
      <c r="A94" s="1" t="s">
        <v>92</v>
      </c>
      <c r="B94">
        <v>43.07</v>
      </c>
      <c r="C94">
        <v>43.75</v>
      </c>
      <c r="D94">
        <v>45.11</v>
      </c>
      <c r="E94">
        <v>45.98</v>
      </c>
      <c r="F94">
        <v>46.29</v>
      </c>
      <c r="G94">
        <v>46.62</v>
      </c>
      <c r="H94">
        <v>41.35</v>
      </c>
      <c r="I94">
        <v>41.4</v>
      </c>
      <c r="J94">
        <v>41.46</v>
      </c>
      <c r="K94">
        <v>47.65</v>
      </c>
      <c r="L94">
        <v>47.72</v>
      </c>
      <c r="M94">
        <v>47.79</v>
      </c>
      <c r="N94">
        <f t="shared" si="4"/>
        <v>538.18999999999994</v>
      </c>
      <c r="O94">
        <f t="shared" si="5"/>
        <v>50</v>
      </c>
    </row>
    <row r="95" spans="1:15" x14ac:dyDescent="0.25">
      <c r="A95" s="1" t="s">
        <v>93</v>
      </c>
      <c r="B95">
        <v>43.41</v>
      </c>
      <c r="C95">
        <v>44.11</v>
      </c>
      <c r="D95">
        <v>45.48</v>
      </c>
      <c r="E95">
        <v>46.76</v>
      </c>
      <c r="F95">
        <v>47.09</v>
      </c>
      <c r="G95">
        <v>47.41</v>
      </c>
      <c r="H95">
        <v>41.66</v>
      </c>
      <c r="I95">
        <v>41.71</v>
      </c>
      <c r="J95">
        <v>41.76</v>
      </c>
      <c r="K95">
        <v>48.35</v>
      </c>
      <c r="L95">
        <v>48.42</v>
      </c>
      <c r="M95">
        <v>48.5</v>
      </c>
      <c r="N95">
        <f t="shared" si="4"/>
        <v>544.66</v>
      </c>
      <c r="O95">
        <f t="shared" si="5"/>
        <v>50</v>
      </c>
    </row>
    <row r="96" spans="1:15" x14ac:dyDescent="0.25">
      <c r="A96" s="1" t="s">
        <v>94</v>
      </c>
      <c r="B96">
        <v>43.25</v>
      </c>
      <c r="C96">
        <v>43.95</v>
      </c>
      <c r="D96">
        <v>45.31</v>
      </c>
      <c r="E96">
        <v>46.91</v>
      </c>
      <c r="F96">
        <v>47.24</v>
      </c>
      <c r="G96">
        <v>47.57</v>
      </c>
      <c r="H96">
        <v>41.69</v>
      </c>
      <c r="I96">
        <v>41.75</v>
      </c>
      <c r="J96">
        <v>41.81</v>
      </c>
      <c r="K96">
        <v>48.87</v>
      </c>
      <c r="L96">
        <v>48.95</v>
      </c>
      <c r="M96">
        <v>49.02</v>
      </c>
      <c r="N96">
        <f t="shared" si="4"/>
        <v>546.32000000000005</v>
      </c>
      <c r="O96">
        <f t="shared" si="5"/>
        <v>50</v>
      </c>
    </row>
    <row r="97" spans="1:15" x14ac:dyDescent="0.25">
      <c r="A97" s="1" t="s">
        <v>95</v>
      </c>
      <c r="B97">
        <v>42.64</v>
      </c>
      <c r="C97">
        <v>43.33</v>
      </c>
      <c r="D97">
        <v>44.68</v>
      </c>
      <c r="E97">
        <v>46.09</v>
      </c>
      <c r="F97">
        <v>46.41</v>
      </c>
      <c r="G97">
        <v>46.74</v>
      </c>
      <c r="H97">
        <v>41.02</v>
      </c>
      <c r="I97">
        <v>41.08</v>
      </c>
      <c r="J97">
        <v>41.13</v>
      </c>
      <c r="K97">
        <v>48.37</v>
      </c>
      <c r="L97">
        <v>48.45</v>
      </c>
      <c r="M97">
        <v>48.53</v>
      </c>
      <c r="N97">
        <f t="shared" si="4"/>
        <v>538.46999999999991</v>
      </c>
      <c r="O97">
        <f t="shared" si="5"/>
        <v>50</v>
      </c>
    </row>
    <row r="98" spans="1:15" x14ac:dyDescent="0.25">
      <c r="A98" s="1" t="s">
        <v>96</v>
      </c>
      <c r="B98">
        <v>42.7</v>
      </c>
      <c r="C98">
        <v>43.39</v>
      </c>
      <c r="D98">
        <v>44.74</v>
      </c>
      <c r="E98">
        <v>45.8</v>
      </c>
      <c r="F98">
        <v>46.12</v>
      </c>
      <c r="G98">
        <v>46.45</v>
      </c>
      <c r="H98">
        <v>40.49</v>
      </c>
      <c r="I98">
        <v>40.549999999999997</v>
      </c>
      <c r="J98">
        <v>40.6</v>
      </c>
      <c r="K98">
        <v>48.87</v>
      </c>
      <c r="L98">
        <v>48.95</v>
      </c>
      <c r="M98">
        <v>49.03</v>
      </c>
      <c r="N98">
        <f t="shared" si="4"/>
        <v>537.69000000000005</v>
      </c>
      <c r="O98">
        <f t="shared" si="5"/>
        <v>50</v>
      </c>
    </row>
    <row r="99" spans="1:15" x14ac:dyDescent="0.25">
      <c r="A99" s="1" t="s">
        <v>97</v>
      </c>
      <c r="B99">
        <v>42.32</v>
      </c>
      <c r="C99">
        <v>43</v>
      </c>
      <c r="D99">
        <v>44.34</v>
      </c>
      <c r="E99">
        <v>45.4</v>
      </c>
      <c r="F99">
        <v>45.72</v>
      </c>
      <c r="G99">
        <v>46.04</v>
      </c>
      <c r="H99">
        <v>40.06</v>
      </c>
      <c r="I99">
        <v>40.11</v>
      </c>
      <c r="J99">
        <v>40.159999999999997</v>
      </c>
      <c r="K99">
        <v>48.44</v>
      </c>
      <c r="L99">
        <v>48.52</v>
      </c>
      <c r="M99">
        <v>48.6</v>
      </c>
      <c r="N99">
        <f t="shared" si="4"/>
        <v>532.70999999999992</v>
      </c>
      <c r="O99">
        <f t="shared" si="5"/>
        <v>50</v>
      </c>
    </row>
    <row r="100" spans="1:15" x14ac:dyDescent="0.25">
      <c r="A100" s="1" t="s">
        <v>98</v>
      </c>
      <c r="B100">
        <v>42.09</v>
      </c>
      <c r="C100">
        <v>42.77</v>
      </c>
      <c r="D100">
        <v>44.1</v>
      </c>
      <c r="E100">
        <v>45.22</v>
      </c>
      <c r="F100">
        <v>45.54</v>
      </c>
      <c r="G100">
        <v>45.86</v>
      </c>
      <c r="H100">
        <v>40.07</v>
      </c>
      <c r="I100">
        <v>40.130000000000003</v>
      </c>
      <c r="J100">
        <v>40.18</v>
      </c>
      <c r="K100">
        <v>48.22</v>
      </c>
      <c r="L100">
        <v>48.31</v>
      </c>
      <c r="M100">
        <v>48.39</v>
      </c>
      <c r="N100">
        <f t="shared" si="4"/>
        <v>530.88</v>
      </c>
      <c r="O100">
        <f t="shared" si="5"/>
        <v>50</v>
      </c>
    </row>
    <row r="101" spans="1:15" x14ac:dyDescent="0.25">
      <c r="A101" s="1" t="s">
        <v>99</v>
      </c>
      <c r="B101">
        <v>42.19</v>
      </c>
      <c r="C101">
        <v>42.87</v>
      </c>
      <c r="D101">
        <v>44.21</v>
      </c>
      <c r="E101">
        <v>45.37</v>
      </c>
      <c r="F101">
        <v>45.7</v>
      </c>
      <c r="G101">
        <v>46.02</v>
      </c>
      <c r="H101">
        <v>40.270000000000003</v>
      </c>
      <c r="I101">
        <v>40.33</v>
      </c>
      <c r="J101">
        <v>40.39</v>
      </c>
      <c r="K101">
        <v>47.78</v>
      </c>
      <c r="L101">
        <v>47.86</v>
      </c>
      <c r="M101">
        <v>47.94</v>
      </c>
      <c r="N101">
        <f t="shared" si="4"/>
        <v>530.93000000000006</v>
      </c>
      <c r="O101">
        <f t="shared" si="5"/>
        <v>50</v>
      </c>
    </row>
    <row r="102" spans="1:15" x14ac:dyDescent="0.25">
      <c r="A102" s="1" t="s">
        <v>100</v>
      </c>
      <c r="B102">
        <v>42.54</v>
      </c>
      <c r="C102">
        <v>43.23</v>
      </c>
      <c r="D102">
        <v>44.57</v>
      </c>
      <c r="E102">
        <v>45.88</v>
      </c>
      <c r="F102">
        <v>46.2</v>
      </c>
      <c r="G102">
        <v>46.53</v>
      </c>
      <c r="H102">
        <v>40.950000000000003</v>
      </c>
      <c r="I102">
        <v>41</v>
      </c>
      <c r="J102">
        <v>41.06</v>
      </c>
      <c r="K102">
        <v>48.07</v>
      </c>
      <c r="L102">
        <v>48.15</v>
      </c>
      <c r="M102">
        <v>48.23</v>
      </c>
      <c r="N102">
        <f t="shared" si="4"/>
        <v>536.41</v>
      </c>
      <c r="O102">
        <f t="shared" si="5"/>
        <v>50</v>
      </c>
    </row>
    <row r="103" spans="1:15" x14ac:dyDescent="0.25">
      <c r="A103" s="1" t="s">
        <v>101</v>
      </c>
      <c r="B103">
        <v>42.22</v>
      </c>
      <c r="C103">
        <v>42.9</v>
      </c>
      <c r="D103">
        <v>44.24</v>
      </c>
      <c r="E103">
        <v>45.88</v>
      </c>
      <c r="F103">
        <v>46.2</v>
      </c>
      <c r="G103">
        <v>46.53</v>
      </c>
      <c r="H103">
        <v>40.69</v>
      </c>
      <c r="I103">
        <v>40.74</v>
      </c>
      <c r="J103">
        <v>40.799999999999997</v>
      </c>
      <c r="K103">
        <v>47.62</v>
      </c>
      <c r="L103">
        <v>47.7</v>
      </c>
      <c r="M103">
        <v>47.78</v>
      </c>
      <c r="N103">
        <f t="shared" si="4"/>
        <v>533.30000000000007</v>
      </c>
      <c r="O103">
        <f t="shared" si="5"/>
        <v>50</v>
      </c>
    </row>
    <row r="104" spans="1:15" x14ac:dyDescent="0.25">
      <c r="A104" s="1" t="s">
        <v>102</v>
      </c>
      <c r="B104">
        <v>42.51</v>
      </c>
      <c r="C104">
        <v>43.19</v>
      </c>
      <c r="D104">
        <v>44.54</v>
      </c>
      <c r="E104">
        <v>46.08</v>
      </c>
      <c r="F104">
        <v>46.41</v>
      </c>
      <c r="G104">
        <v>46.74</v>
      </c>
      <c r="H104">
        <v>40.770000000000003</v>
      </c>
      <c r="I104">
        <v>40.83</v>
      </c>
      <c r="J104">
        <v>40.89</v>
      </c>
      <c r="K104">
        <v>48.21</v>
      </c>
      <c r="L104">
        <v>48.3</v>
      </c>
      <c r="M104">
        <v>48.38</v>
      </c>
      <c r="N104">
        <f t="shared" si="4"/>
        <v>536.84999999999991</v>
      </c>
      <c r="O104">
        <f t="shared" si="5"/>
        <v>50</v>
      </c>
    </row>
    <row r="105" spans="1:15" x14ac:dyDescent="0.25">
      <c r="A105" s="1" t="s">
        <v>103</v>
      </c>
      <c r="B105">
        <v>42.32</v>
      </c>
      <c r="C105">
        <v>43</v>
      </c>
      <c r="D105">
        <v>44.35</v>
      </c>
      <c r="E105">
        <v>45.79</v>
      </c>
      <c r="F105">
        <v>46.12</v>
      </c>
      <c r="G105">
        <v>46.45</v>
      </c>
      <c r="H105">
        <v>40.65</v>
      </c>
      <c r="I105">
        <v>40.71</v>
      </c>
      <c r="J105">
        <v>40.770000000000003</v>
      </c>
      <c r="K105">
        <v>48.04</v>
      </c>
      <c r="L105">
        <v>48.12</v>
      </c>
      <c r="M105">
        <v>48.21</v>
      </c>
      <c r="N105">
        <f t="shared" si="4"/>
        <v>534.53</v>
      </c>
      <c r="O105">
        <f t="shared" si="5"/>
        <v>50</v>
      </c>
    </row>
    <row r="106" spans="1:15" x14ac:dyDescent="0.25">
      <c r="A106" s="1" t="s">
        <v>104</v>
      </c>
      <c r="B106">
        <v>42.29</v>
      </c>
      <c r="C106">
        <v>42.98</v>
      </c>
      <c r="D106">
        <v>44.32</v>
      </c>
      <c r="E106">
        <v>45.64</v>
      </c>
      <c r="F106">
        <v>45.97</v>
      </c>
      <c r="G106">
        <v>46.3</v>
      </c>
      <c r="H106">
        <v>40.58</v>
      </c>
      <c r="I106">
        <v>40.64</v>
      </c>
      <c r="J106">
        <v>40.700000000000003</v>
      </c>
      <c r="K106">
        <v>47.97</v>
      </c>
      <c r="L106">
        <v>48.05</v>
      </c>
      <c r="M106">
        <v>48.14</v>
      </c>
      <c r="N106">
        <f t="shared" si="4"/>
        <v>533.58000000000004</v>
      </c>
      <c r="O106">
        <f t="shared" si="5"/>
        <v>50</v>
      </c>
    </row>
    <row r="107" spans="1:15" x14ac:dyDescent="0.25">
      <c r="A107" s="1" t="s">
        <v>105</v>
      </c>
      <c r="B107">
        <v>41.73</v>
      </c>
      <c r="C107">
        <v>42.4</v>
      </c>
      <c r="D107">
        <v>43.73</v>
      </c>
      <c r="E107">
        <v>44.99</v>
      </c>
      <c r="F107">
        <v>45.31</v>
      </c>
      <c r="G107">
        <v>45.64</v>
      </c>
      <c r="H107">
        <v>40.1</v>
      </c>
      <c r="I107">
        <v>40.159999999999997</v>
      </c>
      <c r="J107">
        <v>40.21</v>
      </c>
      <c r="K107">
        <v>47.26</v>
      </c>
      <c r="L107">
        <v>47.35</v>
      </c>
      <c r="M107">
        <v>47.43</v>
      </c>
      <c r="N107">
        <f t="shared" si="4"/>
        <v>526.31000000000006</v>
      </c>
      <c r="O107">
        <f t="shared" si="5"/>
        <v>50</v>
      </c>
    </row>
    <row r="108" spans="1:15" x14ac:dyDescent="0.25">
      <c r="A108" s="1" t="s">
        <v>106</v>
      </c>
      <c r="B108">
        <v>41.73</v>
      </c>
      <c r="C108">
        <v>42.41</v>
      </c>
      <c r="D108">
        <v>43.74</v>
      </c>
      <c r="E108">
        <v>45.17</v>
      </c>
      <c r="F108">
        <v>45.5</v>
      </c>
      <c r="G108">
        <v>45.83</v>
      </c>
      <c r="H108">
        <v>40.130000000000003</v>
      </c>
      <c r="I108">
        <v>40.19</v>
      </c>
      <c r="J108">
        <v>40.25</v>
      </c>
      <c r="K108">
        <v>47.56</v>
      </c>
      <c r="L108">
        <v>47.65</v>
      </c>
      <c r="M108">
        <v>47.73</v>
      </c>
      <c r="N108">
        <f t="shared" si="4"/>
        <v>527.89</v>
      </c>
      <c r="O108">
        <f t="shared" si="5"/>
        <v>50</v>
      </c>
    </row>
    <row r="109" spans="1:15" x14ac:dyDescent="0.25">
      <c r="A109" s="1" t="s">
        <v>107</v>
      </c>
      <c r="B109">
        <v>41.38</v>
      </c>
      <c r="C109">
        <v>42.05</v>
      </c>
      <c r="D109">
        <v>43.37</v>
      </c>
      <c r="E109">
        <v>44.76</v>
      </c>
      <c r="F109">
        <v>45.09</v>
      </c>
      <c r="G109">
        <v>45.41</v>
      </c>
      <c r="H109">
        <v>39.630000000000003</v>
      </c>
      <c r="I109">
        <v>39.68</v>
      </c>
      <c r="J109">
        <v>39.74</v>
      </c>
      <c r="K109">
        <v>47.35</v>
      </c>
      <c r="L109">
        <v>47.44</v>
      </c>
      <c r="M109">
        <v>47.52</v>
      </c>
      <c r="N109">
        <f t="shared" si="4"/>
        <v>523.42000000000007</v>
      </c>
      <c r="O109">
        <f t="shared" si="5"/>
        <v>50</v>
      </c>
    </row>
    <row r="110" spans="1:15" x14ac:dyDescent="0.25">
      <c r="A110" s="1" t="s">
        <v>108</v>
      </c>
      <c r="B110">
        <v>40.9</v>
      </c>
      <c r="C110">
        <v>41.57</v>
      </c>
      <c r="D110">
        <v>42.87</v>
      </c>
      <c r="E110">
        <v>44.21</v>
      </c>
      <c r="F110">
        <v>44.53</v>
      </c>
      <c r="G110">
        <v>44.86</v>
      </c>
      <c r="H110">
        <v>38.86</v>
      </c>
      <c r="I110">
        <v>38.92</v>
      </c>
      <c r="J110">
        <v>38.97</v>
      </c>
      <c r="K110">
        <v>47.45</v>
      </c>
      <c r="L110">
        <v>47.54</v>
      </c>
      <c r="M110">
        <v>47.63</v>
      </c>
      <c r="N110">
        <f t="shared" si="4"/>
        <v>518.31000000000006</v>
      </c>
      <c r="O110">
        <f t="shared" si="5"/>
        <v>50</v>
      </c>
    </row>
    <row r="111" spans="1:15" x14ac:dyDescent="0.25">
      <c r="A111" s="1" t="s">
        <v>109</v>
      </c>
      <c r="B111">
        <v>39.950000000000003</v>
      </c>
      <c r="C111">
        <v>40.6</v>
      </c>
      <c r="D111">
        <v>41.87</v>
      </c>
      <c r="E111">
        <v>43.44</v>
      </c>
      <c r="F111">
        <v>43.76</v>
      </c>
      <c r="G111">
        <v>44.08</v>
      </c>
      <c r="H111">
        <v>38.06</v>
      </c>
      <c r="I111">
        <v>38.11</v>
      </c>
      <c r="J111">
        <v>38.17</v>
      </c>
      <c r="K111">
        <v>46.26</v>
      </c>
      <c r="L111">
        <v>46.35</v>
      </c>
      <c r="M111">
        <v>46.43</v>
      </c>
      <c r="N111">
        <f t="shared" si="4"/>
        <v>507.08000000000004</v>
      </c>
      <c r="O111">
        <f t="shared" si="5"/>
        <v>50</v>
      </c>
    </row>
    <row r="112" spans="1:15" x14ac:dyDescent="0.25">
      <c r="A112" s="1" t="s">
        <v>110</v>
      </c>
      <c r="B112">
        <v>39.31</v>
      </c>
      <c r="C112">
        <v>39.950000000000003</v>
      </c>
      <c r="D112">
        <v>41.21</v>
      </c>
      <c r="E112">
        <v>42.87</v>
      </c>
      <c r="F112">
        <v>43.18</v>
      </c>
      <c r="G112">
        <v>43.49</v>
      </c>
      <c r="H112">
        <v>37.479999999999997</v>
      </c>
      <c r="I112">
        <v>37.53</v>
      </c>
      <c r="J112">
        <v>37.590000000000003</v>
      </c>
      <c r="K112">
        <v>45.51</v>
      </c>
      <c r="L112">
        <v>45.59</v>
      </c>
      <c r="M112">
        <v>45.68</v>
      </c>
      <c r="N112">
        <f t="shared" si="4"/>
        <v>499.39000000000004</v>
      </c>
      <c r="O112">
        <f t="shared" si="5"/>
        <v>50</v>
      </c>
    </row>
    <row r="113" spans="1:15" x14ac:dyDescent="0.25">
      <c r="A113" s="1" t="s">
        <v>111</v>
      </c>
      <c r="B113">
        <v>39.81</v>
      </c>
      <c r="C113">
        <v>40.46</v>
      </c>
      <c r="D113">
        <v>41.73</v>
      </c>
      <c r="E113">
        <v>43.92</v>
      </c>
      <c r="F113">
        <v>44.24</v>
      </c>
      <c r="G113">
        <v>44.57</v>
      </c>
      <c r="H113">
        <v>38.35</v>
      </c>
      <c r="I113">
        <v>38.409999999999997</v>
      </c>
      <c r="J113">
        <v>38.46</v>
      </c>
      <c r="K113">
        <v>45.46</v>
      </c>
      <c r="L113">
        <v>45.54</v>
      </c>
      <c r="M113">
        <v>45.63</v>
      </c>
      <c r="N113">
        <f t="shared" si="4"/>
        <v>506.58</v>
      </c>
      <c r="O113">
        <f t="shared" si="5"/>
        <v>50</v>
      </c>
    </row>
    <row r="114" spans="1:15" x14ac:dyDescent="0.25">
      <c r="A114" s="1" t="s">
        <v>112</v>
      </c>
      <c r="B114">
        <v>39.86</v>
      </c>
      <c r="C114">
        <v>40.520000000000003</v>
      </c>
      <c r="D114">
        <v>41.79</v>
      </c>
      <c r="E114">
        <v>44.25</v>
      </c>
      <c r="F114">
        <v>44.58</v>
      </c>
      <c r="G114">
        <v>44.9</v>
      </c>
      <c r="H114">
        <v>38.49</v>
      </c>
      <c r="I114">
        <v>38.549999999999997</v>
      </c>
      <c r="J114">
        <v>38.61</v>
      </c>
      <c r="K114">
        <v>45.95</v>
      </c>
      <c r="L114">
        <v>46.04</v>
      </c>
      <c r="M114">
        <v>46.13</v>
      </c>
      <c r="N114">
        <f t="shared" si="4"/>
        <v>509.67</v>
      </c>
      <c r="O114">
        <f t="shared" si="5"/>
        <v>50</v>
      </c>
    </row>
    <row r="115" spans="1:15" x14ac:dyDescent="0.25">
      <c r="A115" s="1" t="s">
        <v>113</v>
      </c>
      <c r="B115">
        <v>39.79</v>
      </c>
      <c r="C115">
        <v>40.450000000000003</v>
      </c>
      <c r="D115">
        <v>41.72</v>
      </c>
      <c r="E115">
        <v>44.36</v>
      </c>
      <c r="F115">
        <v>44.69</v>
      </c>
      <c r="G115">
        <v>45.02</v>
      </c>
      <c r="H115">
        <v>38.39</v>
      </c>
      <c r="I115">
        <v>38.450000000000003</v>
      </c>
      <c r="J115">
        <v>38.51</v>
      </c>
      <c r="K115">
        <v>46.18</v>
      </c>
      <c r="L115">
        <v>46.27</v>
      </c>
      <c r="M115">
        <v>46.36</v>
      </c>
      <c r="N115">
        <f t="shared" si="4"/>
        <v>510.18999999999994</v>
      </c>
      <c r="O115">
        <f t="shared" si="5"/>
        <v>50</v>
      </c>
    </row>
    <row r="116" spans="1:15" x14ac:dyDescent="0.25">
      <c r="A116" s="1" t="s">
        <v>114</v>
      </c>
      <c r="B116">
        <v>40.08</v>
      </c>
      <c r="C116">
        <v>40.74</v>
      </c>
      <c r="D116">
        <v>42.02</v>
      </c>
      <c r="E116">
        <v>44.78</v>
      </c>
      <c r="F116">
        <v>45.11</v>
      </c>
      <c r="G116">
        <v>45.45</v>
      </c>
      <c r="H116">
        <v>38.69</v>
      </c>
      <c r="I116">
        <v>38.75</v>
      </c>
      <c r="J116">
        <v>38.81</v>
      </c>
      <c r="K116">
        <v>46.47</v>
      </c>
      <c r="L116">
        <v>46.56</v>
      </c>
      <c r="M116">
        <v>46.66</v>
      </c>
      <c r="N116">
        <f t="shared" si="4"/>
        <v>514.12</v>
      </c>
      <c r="O116">
        <f t="shared" si="5"/>
        <v>50</v>
      </c>
    </row>
    <row r="117" spans="1:15" x14ac:dyDescent="0.25">
      <c r="A117" s="1" t="s">
        <v>115</v>
      </c>
      <c r="B117">
        <v>39.58</v>
      </c>
      <c r="C117">
        <v>40.229999999999997</v>
      </c>
      <c r="D117">
        <v>41.5</v>
      </c>
      <c r="E117">
        <v>44.21</v>
      </c>
      <c r="F117">
        <v>44.54</v>
      </c>
      <c r="G117">
        <v>44.86</v>
      </c>
      <c r="H117">
        <v>38.1</v>
      </c>
      <c r="I117">
        <v>38.159999999999997</v>
      </c>
      <c r="J117">
        <v>38.22</v>
      </c>
      <c r="K117">
        <v>45.82</v>
      </c>
      <c r="L117">
        <v>45.91</v>
      </c>
      <c r="M117">
        <v>46</v>
      </c>
      <c r="N117">
        <f t="shared" si="4"/>
        <v>507.13000000000011</v>
      </c>
      <c r="O117">
        <f t="shared" si="5"/>
        <v>50</v>
      </c>
    </row>
    <row r="118" spans="1:15" x14ac:dyDescent="0.25">
      <c r="A118" s="1" t="s">
        <v>116</v>
      </c>
      <c r="B118">
        <v>39.590000000000003</v>
      </c>
      <c r="C118">
        <v>40.25</v>
      </c>
      <c r="D118">
        <v>41.51</v>
      </c>
      <c r="E118">
        <v>43.78</v>
      </c>
      <c r="F118">
        <v>44.1</v>
      </c>
      <c r="G118">
        <v>44.43</v>
      </c>
      <c r="H118">
        <v>37.81</v>
      </c>
      <c r="I118">
        <v>37.869999999999997</v>
      </c>
      <c r="J118">
        <v>37.93</v>
      </c>
      <c r="K118">
        <v>45.8</v>
      </c>
      <c r="L118">
        <v>45.89</v>
      </c>
      <c r="M118">
        <v>45.98</v>
      </c>
      <c r="N118">
        <f t="shared" si="4"/>
        <v>504.94000000000005</v>
      </c>
      <c r="O118">
        <f t="shared" si="5"/>
        <v>50</v>
      </c>
    </row>
    <row r="119" spans="1:15" x14ac:dyDescent="0.25">
      <c r="A119" s="1" t="s">
        <v>117</v>
      </c>
      <c r="B119">
        <v>39.28</v>
      </c>
      <c r="C119">
        <v>39.93</v>
      </c>
      <c r="D119">
        <v>41.19</v>
      </c>
      <c r="E119">
        <v>43.34</v>
      </c>
      <c r="F119">
        <v>43.66</v>
      </c>
      <c r="G119">
        <v>43.99</v>
      </c>
      <c r="H119">
        <v>37.64</v>
      </c>
      <c r="I119">
        <v>37.700000000000003</v>
      </c>
      <c r="J119">
        <v>37.75</v>
      </c>
      <c r="K119">
        <v>44.96</v>
      </c>
      <c r="L119">
        <v>45.05</v>
      </c>
      <c r="M119">
        <v>45.14</v>
      </c>
      <c r="N119">
        <f t="shared" si="4"/>
        <v>499.63</v>
      </c>
      <c r="O119">
        <f t="shared" si="5"/>
        <v>50</v>
      </c>
    </row>
    <row r="120" spans="1:15" x14ac:dyDescent="0.25">
      <c r="A120" s="1" t="s">
        <v>118</v>
      </c>
      <c r="B120">
        <v>38.880000000000003</v>
      </c>
      <c r="C120">
        <v>39.520000000000003</v>
      </c>
      <c r="D120">
        <v>40.770000000000003</v>
      </c>
      <c r="E120">
        <v>43.09</v>
      </c>
      <c r="F120">
        <v>43.41</v>
      </c>
      <c r="G120">
        <v>43.74</v>
      </c>
      <c r="H120">
        <v>37.03</v>
      </c>
      <c r="I120">
        <v>37.090000000000003</v>
      </c>
      <c r="J120">
        <v>37.15</v>
      </c>
      <c r="K120">
        <v>45.06</v>
      </c>
      <c r="L120">
        <v>45.15</v>
      </c>
      <c r="M120">
        <v>45.25</v>
      </c>
      <c r="N120">
        <f t="shared" si="4"/>
        <v>496.14000000000004</v>
      </c>
      <c r="O120">
        <f t="shared" si="5"/>
        <v>50</v>
      </c>
    </row>
    <row r="121" spans="1:15" x14ac:dyDescent="0.25">
      <c r="A121" s="1" t="s">
        <v>119</v>
      </c>
      <c r="B121">
        <v>38.51</v>
      </c>
      <c r="C121">
        <v>39.15</v>
      </c>
      <c r="D121">
        <v>40.380000000000003</v>
      </c>
      <c r="E121">
        <v>42.59</v>
      </c>
      <c r="F121">
        <v>42.91</v>
      </c>
      <c r="G121">
        <v>43.23</v>
      </c>
      <c r="H121">
        <v>36.54</v>
      </c>
      <c r="I121">
        <v>36.6</v>
      </c>
      <c r="J121">
        <v>36.65</v>
      </c>
      <c r="K121">
        <v>44.32</v>
      </c>
      <c r="L121">
        <v>44.41</v>
      </c>
      <c r="M121">
        <v>44.5</v>
      </c>
      <c r="N121">
        <f t="shared" si="4"/>
        <v>489.78999999999996</v>
      </c>
      <c r="O121">
        <f t="shared" si="5"/>
        <v>50</v>
      </c>
    </row>
    <row r="122" spans="1:15" x14ac:dyDescent="0.25">
      <c r="A122" s="1" t="s">
        <v>120</v>
      </c>
      <c r="B122">
        <v>38.71</v>
      </c>
      <c r="C122">
        <v>39.35</v>
      </c>
      <c r="D122">
        <v>40.590000000000003</v>
      </c>
      <c r="E122">
        <v>42.99</v>
      </c>
      <c r="F122">
        <v>43.31</v>
      </c>
      <c r="G122">
        <v>43.64</v>
      </c>
      <c r="H122">
        <v>36.950000000000003</v>
      </c>
      <c r="I122">
        <v>37.01</v>
      </c>
      <c r="J122">
        <v>37.07</v>
      </c>
      <c r="K122">
        <v>44.59</v>
      </c>
      <c r="L122">
        <v>44.68</v>
      </c>
      <c r="M122">
        <v>44.77</v>
      </c>
      <c r="N122">
        <f t="shared" si="4"/>
        <v>493.66</v>
      </c>
      <c r="O122">
        <f t="shared" si="5"/>
        <v>50</v>
      </c>
    </row>
    <row r="123" spans="1:15" x14ac:dyDescent="0.25">
      <c r="A123" s="1" t="s">
        <v>121</v>
      </c>
      <c r="B123">
        <v>38.24</v>
      </c>
      <c r="C123">
        <v>38.869999999999997</v>
      </c>
      <c r="D123">
        <v>40.1</v>
      </c>
      <c r="E123">
        <v>41.98</v>
      </c>
      <c r="F123">
        <v>42.29</v>
      </c>
      <c r="G123">
        <v>42.61</v>
      </c>
      <c r="H123">
        <v>36.07</v>
      </c>
      <c r="I123">
        <v>36.130000000000003</v>
      </c>
      <c r="J123">
        <v>36.19</v>
      </c>
      <c r="K123">
        <v>43.66</v>
      </c>
      <c r="L123">
        <v>43.75</v>
      </c>
      <c r="M123">
        <v>43.84</v>
      </c>
      <c r="N123">
        <f t="shared" si="4"/>
        <v>483.73</v>
      </c>
      <c r="O123">
        <f t="shared" si="5"/>
        <v>50</v>
      </c>
    </row>
    <row r="124" spans="1:15" x14ac:dyDescent="0.25">
      <c r="A124" s="1" t="s">
        <v>122</v>
      </c>
      <c r="B124">
        <v>37.79</v>
      </c>
      <c r="C124">
        <v>38.409999999999997</v>
      </c>
      <c r="D124">
        <v>39.630000000000003</v>
      </c>
      <c r="E124">
        <v>41.51</v>
      </c>
      <c r="F124">
        <v>41.82</v>
      </c>
      <c r="G124">
        <v>42.14</v>
      </c>
      <c r="H124">
        <v>35.65</v>
      </c>
      <c r="I124">
        <v>35.71</v>
      </c>
      <c r="J124">
        <v>35.770000000000003</v>
      </c>
      <c r="K124">
        <v>43.65</v>
      </c>
      <c r="L124">
        <v>43.75</v>
      </c>
      <c r="M124">
        <v>43.84</v>
      </c>
      <c r="N124">
        <f t="shared" si="4"/>
        <v>479.66999999999985</v>
      </c>
      <c r="O124">
        <f t="shared" si="5"/>
        <v>50</v>
      </c>
    </row>
    <row r="125" spans="1:15" x14ac:dyDescent="0.25">
      <c r="A125" s="1" t="s">
        <v>123</v>
      </c>
      <c r="B125">
        <v>37.4</v>
      </c>
      <c r="C125">
        <v>38.020000000000003</v>
      </c>
      <c r="D125">
        <v>39.22</v>
      </c>
      <c r="E125">
        <v>41.22</v>
      </c>
      <c r="F125">
        <v>41.53</v>
      </c>
      <c r="G125">
        <v>41.84</v>
      </c>
      <c r="H125">
        <v>35.18</v>
      </c>
      <c r="I125">
        <v>35.24</v>
      </c>
      <c r="J125">
        <v>35.29</v>
      </c>
      <c r="K125">
        <v>43.8</v>
      </c>
      <c r="L125">
        <v>43.89</v>
      </c>
      <c r="M125">
        <v>43.99</v>
      </c>
      <c r="N125">
        <f t="shared" si="4"/>
        <v>476.62000000000006</v>
      </c>
      <c r="O125">
        <f t="shared" si="5"/>
        <v>50</v>
      </c>
    </row>
    <row r="126" spans="1:15" x14ac:dyDescent="0.25">
      <c r="A126" s="1" t="s">
        <v>124</v>
      </c>
      <c r="B126">
        <v>36.51</v>
      </c>
      <c r="C126">
        <v>37.11</v>
      </c>
      <c r="D126">
        <v>38.29</v>
      </c>
      <c r="E126">
        <v>39.950000000000003</v>
      </c>
      <c r="F126">
        <v>40.26</v>
      </c>
      <c r="G126">
        <v>40.56</v>
      </c>
      <c r="H126">
        <v>34.04</v>
      </c>
      <c r="I126">
        <v>34.090000000000003</v>
      </c>
      <c r="J126">
        <v>34.15</v>
      </c>
      <c r="K126">
        <v>43.17</v>
      </c>
      <c r="L126">
        <v>43.26</v>
      </c>
      <c r="M126">
        <v>43.36</v>
      </c>
      <c r="N126">
        <f t="shared" si="4"/>
        <v>464.75000000000006</v>
      </c>
      <c r="O126">
        <f t="shared" si="5"/>
        <v>50</v>
      </c>
    </row>
    <row r="127" spans="1:15" x14ac:dyDescent="0.25">
      <c r="A127" s="1" t="s">
        <v>125</v>
      </c>
      <c r="B127">
        <v>36.17</v>
      </c>
      <c r="C127">
        <v>36.770000000000003</v>
      </c>
      <c r="D127">
        <v>37.94</v>
      </c>
      <c r="E127">
        <v>39.799999999999997</v>
      </c>
      <c r="F127">
        <v>40.1</v>
      </c>
      <c r="G127">
        <v>40.409999999999997</v>
      </c>
      <c r="H127">
        <v>33.57</v>
      </c>
      <c r="I127">
        <v>33.630000000000003</v>
      </c>
      <c r="J127">
        <v>33.68</v>
      </c>
      <c r="K127">
        <v>42.35</v>
      </c>
      <c r="L127">
        <v>42.44</v>
      </c>
      <c r="M127">
        <v>42.54</v>
      </c>
      <c r="N127">
        <f t="shared" si="4"/>
        <v>459.40000000000003</v>
      </c>
      <c r="O127">
        <f t="shared" si="5"/>
        <v>50</v>
      </c>
    </row>
    <row r="128" spans="1:15" x14ac:dyDescent="0.25">
      <c r="A128" s="1" t="s">
        <v>126</v>
      </c>
      <c r="B128">
        <v>35.97</v>
      </c>
      <c r="C128">
        <v>36.56</v>
      </c>
      <c r="D128">
        <v>37.72</v>
      </c>
      <c r="E128">
        <v>39.86</v>
      </c>
      <c r="F128">
        <v>40.159999999999997</v>
      </c>
      <c r="G128">
        <v>40.47</v>
      </c>
      <c r="H128">
        <v>33.64</v>
      </c>
      <c r="I128">
        <v>33.69</v>
      </c>
      <c r="J128">
        <v>33.75</v>
      </c>
      <c r="K128">
        <v>42.35</v>
      </c>
      <c r="L128">
        <v>42.44</v>
      </c>
      <c r="M128">
        <v>42.54</v>
      </c>
      <c r="N128">
        <f t="shared" si="4"/>
        <v>459.15000000000003</v>
      </c>
      <c r="O128">
        <f t="shared" si="5"/>
        <v>50</v>
      </c>
    </row>
    <row r="129" spans="1:15" x14ac:dyDescent="0.25">
      <c r="A129" s="1" t="s">
        <v>127</v>
      </c>
      <c r="B129">
        <v>35.31</v>
      </c>
      <c r="C129">
        <v>35.9</v>
      </c>
      <c r="D129">
        <v>37.03</v>
      </c>
      <c r="E129">
        <v>39.03</v>
      </c>
      <c r="F129">
        <v>39.33</v>
      </c>
      <c r="G129">
        <v>39.630000000000003</v>
      </c>
      <c r="H129">
        <v>32.56</v>
      </c>
      <c r="I129">
        <v>32.61</v>
      </c>
      <c r="J129">
        <v>32.659999999999997</v>
      </c>
      <c r="K129">
        <v>41.52</v>
      </c>
      <c r="L129">
        <v>41.61</v>
      </c>
      <c r="M129">
        <v>41.71</v>
      </c>
      <c r="N129">
        <f t="shared" si="4"/>
        <v>448.90000000000003</v>
      </c>
      <c r="O129">
        <f t="shared" si="5"/>
        <v>0</v>
      </c>
    </row>
    <row r="130" spans="1:15" x14ac:dyDescent="0.25">
      <c r="A130" s="1" t="s">
        <v>128</v>
      </c>
      <c r="B130">
        <v>35.46</v>
      </c>
      <c r="C130">
        <v>36.06</v>
      </c>
      <c r="D130">
        <v>37.200000000000003</v>
      </c>
      <c r="E130">
        <v>39.71</v>
      </c>
      <c r="F130">
        <v>40.020000000000003</v>
      </c>
      <c r="G130">
        <v>40.32</v>
      </c>
      <c r="H130">
        <v>33.130000000000003</v>
      </c>
      <c r="I130">
        <v>33.19</v>
      </c>
      <c r="J130">
        <v>33.24</v>
      </c>
      <c r="K130">
        <v>41.87</v>
      </c>
      <c r="L130">
        <v>41.97</v>
      </c>
      <c r="M130">
        <v>42.06</v>
      </c>
      <c r="N130">
        <f t="shared" si="4"/>
        <v>454.23000000000008</v>
      </c>
      <c r="O130">
        <f t="shared" si="5"/>
        <v>50</v>
      </c>
    </row>
    <row r="131" spans="1:15" x14ac:dyDescent="0.25">
      <c r="A131" s="1" t="s">
        <v>129</v>
      </c>
      <c r="B131">
        <v>35.159999999999997</v>
      </c>
      <c r="C131">
        <v>35.75</v>
      </c>
      <c r="D131">
        <v>36.880000000000003</v>
      </c>
      <c r="E131">
        <v>39.130000000000003</v>
      </c>
      <c r="F131">
        <v>39.43</v>
      </c>
      <c r="G131">
        <v>39.729999999999997</v>
      </c>
      <c r="H131">
        <v>32.729999999999997</v>
      </c>
      <c r="I131">
        <v>32.79</v>
      </c>
      <c r="J131">
        <v>32.840000000000003</v>
      </c>
      <c r="K131">
        <v>40.74</v>
      </c>
      <c r="L131">
        <v>40.840000000000003</v>
      </c>
      <c r="M131">
        <v>40.93</v>
      </c>
      <c r="N131">
        <f t="shared" ref="N131:N194" si="6">SUM(B131:M131)</f>
        <v>446.9500000000001</v>
      </c>
      <c r="O131">
        <f t="shared" ref="O131:O194" si="7">IF(COUNTIF(B131:M131,"&gt;33")=12,50,0)</f>
        <v>0</v>
      </c>
    </row>
    <row r="132" spans="1:15" x14ac:dyDescent="0.25">
      <c r="A132" s="1" t="s">
        <v>130</v>
      </c>
      <c r="B132">
        <v>35.81</v>
      </c>
      <c r="C132">
        <v>36.409999999999997</v>
      </c>
      <c r="D132">
        <v>37.57</v>
      </c>
      <c r="E132">
        <v>39.979999999999997</v>
      </c>
      <c r="F132">
        <v>40.29</v>
      </c>
      <c r="G132">
        <v>40.6</v>
      </c>
      <c r="H132">
        <v>33.479999999999997</v>
      </c>
      <c r="I132">
        <v>33.54</v>
      </c>
      <c r="J132">
        <v>33.6</v>
      </c>
      <c r="K132">
        <v>40.72</v>
      </c>
      <c r="L132">
        <v>40.81</v>
      </c>
      <c r="M132">
        <v>40.909999999999997</v>
      </c>
      <c r="N132">
        <f t="shared" si="6"/>
        <v>453.72</v>
      </c>
      <c r="O132">
        <f t="shared" si="7"/>
        <v>50</v>
      </c>
    </row>
    <row r="133" spans="1:15" x14ac:dyDescent="0.25">
      <c r="A133" s="1" t="s">
        <v>131</v>
      </c>
      <c r="B133">
        <v>35.1</v>
      </c>
      <c r="C133">
        <v>35.68</v>
      </c>
      <c r="D133">
        <v>36.82</v>
      </c>
      <c r="E133">
        <v>39.07</v>
      </c>
      <c r="F133">
        <v>39.369999999999997</v>
      </c>
      <c r="G133">
        <v>39.67</v>
      </c>
      <c r="H133">
        <v>32.24</v>
      </c>
      <c r="I133">
        <v>32.299999999999997</v>
      </c>
      <c r="J133">
        <v>32.35</v>
      </c>
      <c r="K133">
        <v>39.9</v>
      </c>
      <c r="L133">
        <v>39.99</v>
      </c>
      <c r="M133">
        <v>40.08</v>
      </c>
      <c r="N133">
        <f t="shared" si="6"/>
        <v>442.57</v>
      </c>
      <c r="O133">
        <f t="shared" si="7"/>
        <v>0</v>
      </c>
    </row>
    <row r="134" spans="1:15" x14ac:dyDescent="0.25">
      <c r="A134" s="1" t="s">
        <v>132</v>
      </c>
      <c r="B134">
        <v>34.46</v>
      </c>
      <c r="C134">
        <v>35.03</v>
      </c>
      <c r="D134">
        <v>36.15</v>
      </c>
      <c r="E134">
        <v>38.06</v>
      </c>
      <c r="F134">
        <v>38.35</v>
      </c>
      <c r="G134">
        <v>38.65</v>
      </c>
      <c r="H134">
        <v>31.13</v>
      </c>
      <c r="I134">
        <v>31.18</v>
      </c>
      <c r="J134">
        <v>31.23</v>
      </c>
      <c r="K134">
        <v>39.51</v>
      </c>
      <c r="L134">
        <v>39.6</v>
      </c>
      <c r="M134">
        <v>39.69</v>
      </c>
      <c r="N134">
        <f t="shared" si="6"/>
        <v>433.04</v>
      </c>
      <c r="O134">
        <f t="shared" si="7"/>
        <v>0</v>
      </c>
    </row>
    <row r="135" spans="1:15" x14ac:dyDescent="0.25">
      <c r="A135" s="1" t="s">
        <v>133</v>
      </c>
      <c r="B135">
        <v>34.520000000000003</v>
      </c>
      <c r="C135">
        <v>35.1</v>
      </c>
      <c r="D135">
        <v>36.22</v>
      </c>
      <c r="E135">
        <v>38.159999999999997</v>
      </c>
      <c r="F135">
        <v>38.450000000000003</v>
      </c>
      <c r="G135">
        <v>38.75</v>
      </c>
      <c r="H135">
        <v>31.31</v>
      </c>
      <c r="I135">
        <v>31.37</v>
      </c>
      <c r="J135">
        <v>31.42</v>
      </c>
      <c r="K135">
        <v>39.549999999999997</v>
      </c>
      <c r="L135">
        <v>39.64</v>
      </c>
      <c r="M135">
        <v>39.729999999999997</v>
      </c>
      <c r="N135">
        <f t="shared" si="6"/>
        <v>434.22</v>
      </c>
      <c r="O135">
        <f t="shared" si="7"/>
        <v>0</v>
      </c>
    </row>
    <row r="136" spans="1:15" x14ac:dyDescent="0.25">
      <c r="A136" s="1" t="s">
        <v>134</v>
      </c>
      <c r="B136">
        <v>33.729999999999997</v>
      </c>
      <c r="C136">
        <v>34.299999999999997</v>
      </c>
      <c r="D136">
        <v>35.39</v>
      </c>
      <c r="E136">
        <v>37.18</v>
      </c>
      <c r="F136">
        <v>37.47</v>
      </c>
      <c r="G136">
        <v>37.770000000000003</v>
      </c>
      <c r="H136">
        <v>30.58</v>
      </c>
      <c r="I136">
        <v>30.63</v>
      </c>
      <c r="J136">
        <v>30.69</v>
      </c>
      <c r="K136">
        <v>38.5</v>
      </c>
      <c r="L136">
        <v>38.590000000000003</v>
      </c>
      <c r="M136">
        <v>38.68</v>
      </c>
      <c r="N136">
        <f t="shared" si="6"/>
        <v>423.51000000000005</v>
      </c>
      <c r="O136">
        <f t="shared" si="7"/>
        <v>0</v>
      </c>
    </row>
    <row r="137" spans="1:15" x14ac:dyDescent="0.25">
      <c r="A137" s="1" t="s">
        <v>135</v>
      </c>
      <c r="B137">
        <v>33.770000000000003</v>
      </c>
      <c r="C137">
        <v>34.33</v>
      </c>
      <c r="D137">
        <v>35.43</v>
      </c>
      <c r="E137">
        <v>37.32</v>
      </c>
      <c r="F137">
        <v>37.61</v>
      </c>
      <c r="G137">
        <v>37.9</v>
      </c>
      <c r="H137">
        <v>30.66</v>
      </c>
      <c r="I137">
        <v>30.71</v>
      </c>
      <c r="J137">
        <v>30.77</v>
      </c>
      <c r="K137">
        <v>38.57</v>
      </c>
      <c r="L137">
        <v>38.659999999999997</v>
      </c>
      <c r="M137">
        <v>38.75</v>
      </c>
      <c r="N137">
        <f t="shared" si="6"/>
        <v>424.4799999999999</v>
      </c>
      <c r="O137">
        <f t="shared" si="7"/>
        <v>0</v>
      </c>
    </row>
    <row r="138" spans="1:15" x14ac:dyDescent="0.25">
      <c r="A138" s="1" t="s">
        <v>136</v>
      </c>
      <c r="B138">
        <v>34.82</v>
      </c>
      <c r="C138">
        <v>35.409999999999997</v>
      </c>
      <c r="D138">
        <v>36.54</v>
      </c>
      <c r="E138">
        <v>38.5</v>
      </c>
      <c r="F138">
        <v>38.799999999999997</v>
      </c>
      <c r="G138">
        <v>39.11</v>
      </c>
      <c r="H138">
        <v>31.57</v>
      </c>
      <c r="I138">
        <v>31.62</v>
      </c>
      <c r="J138">
        <v>31.68</v>
      </c>
      <c r="K138">
        <v>39.090000000000003</v>
      </c>
      <c r="L138">
        <v>39.19</v>
      </c>
      <c r="M138">
        <v>39.28</v>
      </c>
      <c r="N138">
        <f t="shared" si="6"/>
        <v>435.61</v>
      </c>
      <c r="O138">
        <f t="shared" si="7"/>
        <v>0</v>
      </c>
    </row>
    <row r="139" spans="1:15" x14ac:dyDescent="0.25">
      <c r="A139" s="1" t="s">
        <v>137</v>
      </c>
      <c r="B139">
        <v>35.19</v>
      </c>
      <c r="C139">
        <v>35.78</v>
      </c>
      <c r="D139">
        <v>36.93</v>
      </c>
      <c r="E139">
        <v>39.03</v>
      </c>
      <c r="F139">
        <v>39.33</v>
      </c>
      <c r="G139">
        <v>39.64</v>
      </c>
      <c r="H139">
        <v>31.95</v>
      </c>
      <c r="I139">
        <v>32.01</v>
      </c>
      <c r="J139">
        <v>32.06</v>
      </c>
      <c r="K139">
        <v>38.630000000000003</v>
      </c>
      <c r="L139">
        <v>38.72</v>
      </c>
      <c r="M139">
        <v>38.82</v>
      </c>
      <c r="N139">
        <f t="shared" si="6"/>
        <v>438.09</v>
      </c>
      <c r="O139">
        <f t="shared" si="7"/>
        <v>0</v>
      </c>
    </row>
    <row r="140" spans="1:15" x14ac:dyDescent="0.25">
      <c r="A140" s="1" t="s">
        <v>138</v>
      </c>
      <c r="B140">
        <v>35.65</v>
      </c>
      <c r="C140">
        <v>36.25</v>
      </c>
      <c r="D140">
        <v>37.409999999999997</v>
      </c>
      <c r="E140">
        <v>39.49</v>
      </c>
      <c r="F140">
        <v>39.799999999999997</v>
      </c>
      <c r="G140">
        <v>40.11</v>
      </c>
      <c r="H140">
        <v>32.340000000000003</v>
      </c>
      <c r="I140">
        <v>32.39</v>
      </c>
      <c r="J140">
        <v>32.450000000000003</v>
      </c>
      <c r="K140">
        <v>39.1</v>
      </c>
      <c r="L140">
        <v>39.200000000000003</v>
      </c>
      <c r="M140">
        <v>39.29</v>
      </c>
      <c r="N140">
        <f t="shared" si="6"/>
        <v>443.48000000000008</v>
      </c>
      <c r="O140">
        <f t="shared" si="7"/>
        <v>0</v>
      </c>
    </row>
    <row r="141" spans="1:15" x14ac:dyDescent="0.25">
      <c r="A141" s="1" t="s">
        <v>139</v>
      </c>
      <c r="B141">
        <v>35.590000000000003</v>
      </c>
      <c r="C141">
        <v>36.19</v>
      </c>
      <c r="D141">
        <v>37.35</v>
      </c>
      <c r="E141">
        <v>39.08</v>
      </c>
      <c r="F141">
        <v>39.39</v>
      </c>
      <c r="G141">
        <v>39.700000000000003</v>
      </c>
      <c r="H141">
        <v>32.11</v>
      </c>
      <c r="I141">
        <v>32.159999999999997</v>
      </c>
      <c r="J141">
        <v>32.22</v>
      </c>
      <c r="K141">
        <v>39.159999999999997</v>
      </c>
      <c r="L141">
        <v>39.25</v>
      </c>
      <c r="M141">
        <v>39.35</v>
      </c>
      <c r="N141">
        <f t="shared" si="6"/>
        <v>441.54999999999995</v>
      </c>
      <c r="O141">
        <f t="shared" si="7"/>
        <v>0</v>
      </c>
    </row>
    <row r="142" spans="1:15" x14ac:dyDescent="0.25">
      <c r="A142" s="1" t="s">
        <v>140</v>
      </c>
      <c r="B142">
        <v>36.94</v>
      </c>
      <c r="C142">
        <v>37.57</v>
      </c>
      <c r="D142">
        <v>38.770000000000003</v>
      </c>
      <c r="E142">
        <v>40.42</v>
      </c>
      <c r="F142">
        <v>40.74</v>
      </c>
      <c r="G142">
        <v>41.06</v>
      </c>
      <c r="H142">
        <v>33.44</v>
      </c>
      <c r="I142">
        <v>33.5</v>
      </c>
      <c r="J142">
        <v>33.56</v>
      </c>
      <c r="K142">
        <v>39.43</v>
      </c>
      <c r="L142">
        <v>39.53</v>
      </c>
      <c r="M142">
        <v>39.619999999999997</v>
      </c>
      <c r="N142">
        <f t="shared" si="6"/>
        <v>454.58000000000004</v>
      </c>
      <c r="O142">
        <f t="shared" si="7"/>
        <v>50</v>
      </c>
    </row>
    <row r="143" spans="1:15" x14ac:dyDescent="0.25">
      <c r="A143" s="1" t="s">
        <v>141</v>
      </c>
      <c r="B143">
        <v>36.590000000000003</v>
      </c>
      <c r="C143">
        <v>37.21</v>
      </c>
      <c r="D143">
        <v>38.4</v>
      </c>
      <c r="E143">
        <v>39.68</v>
      </c>
      <c r="F143">
        <v>39.99</v>
      </c>
      <c r="G143">
        <v>40.31</v>
      </c>
      <c r="H143">
        <v>32.950000000000003</v>
      </c>
      <c r="I143">
        <v>33.01</v>
      </c>
      <c r="J143">
        <v>33.07</v>
      </c>
      <c r="K143">
        <v>37.880000000000003</v>
      </c>
      <c r="L143">
        <v>37.979999999999997</v>
      </c>
      <c r="M143">
        <v>38.07</v>
      </c>
      <c r="N143">
        <f t="shared" si="6"/>
        <v>445.14000000000004</v>
      </c>
      <c r="O143">
        <f t="shared" si="7"/>
        <v>0</v>
      </c>
    </row>
    <row r="144" spans="1:15" x14ac:dyDescent="0.25">
      <c r="A144" s="1" t="s">
        <v>142</v>
      </c>
      <c r="B144">
        <v>36.57</v>
      </c>
      <c r="C144">
        <v>37.19</v>
      </c>
      <c r="D144">
        <v>38.380000000000003</v>
      </c>
      <c r="E144">
        <v>38.93</v>
      </c>
      <c r="F144">
        <v>39.24</v>
      </c>
      <c r="G144">
        <v>39.549999999999997</v>
      </c>
      <c r="H144">
        <v>32.29</v>
      </c>
      <c r="I144">
        <v>32.35</v>
      </c>
      <c r="J144">
        <v>32.409999999999997</v>
      </c>
      <c r="K144">
        <v>37.840000000000003</v>
      </c>
      <c r="L144">
        <v>37.94</v>
      </c>
      <c r="M144">
        <v>38.03</v>
      </c>
      <c r="N144">
        <f t="shared" si="6"/>
        <v>440.72000000000014</v>
      </c>
      <c r="O144">
        <f t="shared" si="7"/>
        <v>0</v>
      </c>
    </row>
    <row r="145" spans="1:15" x14ac:dyDescent="0.25">
      <c r="A145" s="1" t="s">
        <v>143</v>
      </c>
      <c r="B145">
        <v>36.61</v>
      </c>
      <c r="C145">
        <v>37.229999999999997</v>
      </c>
      <c r="D145">
        <v>38.43</v>
      </c>
      <c r="E145">
        <v>39.01</v>
      </c>
      <c r="F145">
        <v>39.33</v>
      </c>
      <c r="G145">
        <v>39.64</v>
      </c>
      <c r="H145">
        <v>32.26</v>
      </c>
      <c r="I145">
        <v>32.32</v>
      </c>
      <c r="J145">
        <v>32.369999999999997</v>
      </c>
      <c r="K145">
        <v>37.83</v>
      </c>
      <c r="L145">
        <v>37.92</v>
      </c>
      <c r="M145">
        <v>38.020000000000003</v>
      </c>
      <c r="N145">
        <f t="shared" si="6"/>
        <v>440.96999999999997</v>
      </c>
      <c r="O145">
        <f t="shared" si="7"/>
        <v>0</v>
      </c>
    </row>
    <row r="146" spans="1:15" x14ac:dyDescent="0.25">
      <c r="A146" s="1" t="s">
        <v>144</v>
      </c>
      <c r="B146">
        <v>36.94</v>
      </c>
      <c r="C146">
        <v>37.57</v>
      </c>
      <c r="D146">
        <v>38.78</v>
      </c>
      <c r="E146">
        <v>39.909999999999997</v>
      </c>
      <c r="F146">
        <v>40.229999999999997</v>
      </c>
      <c r="G146">
        <v>40.549999999999997</v>
      </c>
      <c r="H146">
        <v>32.65</v>
      </c>
      <c r="I146">
        <v>32.71</v>
      </c>
      <c r="J146">
        <v>32.770000000000003</v>
      </c>
      <c r="K146">
        <v>38.11</v>
      </c>
      <c r="L146">
        <v>38.21</v>
      </c>
      <c r="M146">
        <v>38.299999999999997</v>
      </c>
      <c r="N146">
        <f t="shared" si="6"/>
        <v>446.7299999999999</v>
      </c>
      <c r="O146">
        <f t="shared" si="7"/>
        <v>0</v>
      </c>
    </row>
    <row r="147" spans="1:15" x14ac:dyDescent="0.25">
      <c r="A147" s="1" t="s">
        <v>145</v>
      </c>
      <c r="B147">
        <v>37.909999999999997</v>
      </c>
      <c r="C147">
        <v>38.549999999999997</v>
      </c>
      <c r="D147">
        <v>39.79</v>
      </c>
      <c r="E147">
        <v>40.659999999999997</v>
      </c>
      <c r="F147">
        <v>40.99</v>
      </c>
      <c r="G147">
        <v>41.31</v>
      </c>
      <c r="H147">
        <v>33.270000000000003</v>
      </c>
      <c r="I147">
        <v>33.33</v>
      </c>
      <c r="J147">
        <v>33.39</v>
      </c>
      <c r="K147">
        <v>38.950000000000003</v>
      </c>
      <c r="L147">
        <v>39.049999999999997</v>
      </c>
      <c r="M147">
        <v>39.15</v>
      </c>
      <c r="N147">
        <f t="shared" si="6"/>
        <v>456.34999999999997</v>
      </c>
      <c r="O147">
        <f t="shared" si="7"/>
        <v>50</v>
      </c>
    </row>
    <row r="148" spans="1:15" x14ac:dyDescent="0.25">
      <c r="A148" s="1" t="s">
        <v>146</v>
      </c>
      <c r="B148">
        <v>38.130000000000003</v>
      </c>
      <c r="C148">
        <v>38.78</v>
      </c>
      <c r="D148">
        <v>40.03</v>
      </c>
      <c r="E148">
        <v>41.08</v>
      </c>
      <c r="F148">
        <v>41.41</v>
      </c>
      <c r="G148">
        <v>41.74</v>
      </c>
      <c r="H148">
        <v>33.340000000000003</v>
      </c>
      <c r="I148">
        <v>33.4</v>
      </c>
      <c r="J148">
        <v>33.46</v>
      </c>
      <c r="K148">
        <v>39.1</v>
      </c>
      <c r="L148">
        <v>39.21</v>
      </c>
      <c r="M148">
        <v>39.31</v>
      </c>
      <c r="N148">
        <f t="shared" si="6"/>
        <v>458.98999999999995</v>
      </c>
      <c r="O148">
        <f t="shared" si="7"/>
        <v>50</v>
      </c>
    </row>
    <row r="149" spans="1:15" x14ac:dyDescent="0.25">
      <c r="A149" s="1" t="s">
        <v>147</v>
      </c>
      <c r="B149">
        <v>38.01</v>
      </c>
      <c r="C149">
        <v>38.65</v>
      </c>
      <c r="D149">
        <v>39.9</v>
      </c>
      <c r="E149">
        <v>41.08</v>
      </c>
      <c r="F149">
        <v>41.41</v>
      </c>
      <c r="G149">
        <v>41.74</v>
      </c>
      <c r="H149">
        <v>33.29</v>
      </c>
      <c r="I149">
        <v>33.35</v>
      </c>
      <c r="J149">
        <v>33.409999999999997</v>
      </c>
      <c r="K149">
        <v>38.71</v>
      </c>
      <c r="L149">
        <v>38.81</v>
      </c>
      <c r="M149">
        <v>38.909999999999997</v>
      </c>
      <c r="N149">
        <f t="shared" si="6"/>
        <v>457.27</v>
      </c>
      <c r="O149">
        <f t="shared" si="7"/>
        <v>50</v>
      </c>
    </row>
    <row r="150" spans="1:15" x14ac:dyDescent="0.25">
      <c r="A150" s="1" t="s">
        <v>148</v>
      </c>
      <c r="B150">
        <v>37.85</v>
      </c>
      <c r="C150">
        <v>38.49</v>
      </c>
      <c r="D150">
        <v>39.729999999999997</v>
      </c>
      <c r="E150">
        <v>41.28</v>
      </c>
      <c r="F150">
        <v>41.61</v>
      </c>
      <c r="G150">
        <v>41.95</v>
      </c>
      <c r="H150">
        <v>33.57</v>
      </c>
      <c r="I150">
        <v>33.630000000000003</v>
      </c>
      <c r="J150">
        <v>33.69</v>
      </c>
      <c r="K150">
        <v>37.99</v>
      </c>
      <c r="L150">
        <v>38.090000000000003</v>
      </c>
      <c r="M150">
        <v>38.19</v>
      </c>
      <c r="N150">
        <f t="shared" si="6"/>
        <v>456.07</v>
      </c>
      <c r="O150">
        <f t="shared" si="7"/>
        <v>50</v>
      </c>
    </row>
    <row r="151" spans="1:15" x14ac:dyDescent="0.25">
      <c r="A151" s="1" t="s">
        <v>149</v>
      </c>
      <c r="B151">
        <v>38.21</v>
      </c>
      <c r="C151">
        <v>38.869999999999997</v>
      </c>
      <c r="D151">
        <v>40.119999999999997</v>
      </c>
      <c r="E151">
        <v>41.69</v>
      </c>
      <c r="F151">
        <v>42.03</v>
      </c>
      <c r="G151">
        <v>42.37</v>
      </c>
      <c r="H151">
        <v>34.14</v>
      </c>
      <c r="I151">
        <v>34.21</v>
      </c>
      <c r="J151">
        <v>34.270000000000003</v>
      </c>
      <c r="K151">
        <v>37.619999999999997</v>
      </c>
      <c r="L151">
        <v>37.72</v>
      </c>
      <c r="M151">
        <v>37.82</v>
      </c>
      <c r="N151">
        <f t="shared" si="6"/>
        <v>459.07</v>
      </c>
      <c r="O151">
        <f t="shared" si="7"/>
        <v>50</v>
      </c>
    </row>
    <row r="152" spans="1:15" x14ac:dyDescent="0.25">
      <c r="A152" s="1" t="s">
        <v>150</v>
      </c>
      <c r="B152">
        <v>38.01</v>
      </c>
      <c r="C152">
        <v>38.659999999999997</v>
      </c>
      <c r="D152">
        <v>39.909999999999997</v>
      </c>
      <c r="E152">
        <v>42.09</v>
      </c>
      <c r="F152">
        <v>42.43</v>
      </c>
      <c r="G152">
        <v>42.77</v>
      </c>
      <c r="H152">
        <v>34.22</v>
      </c>
      <c r="I152">
        <v>34.29</v>
      </c>
      <c r="J152">
        <v>34.35</v>
      </c>
      <c r="K152">
        <v>38.33</v>
      </c>
      <c r="L152">
        <v>38.44</v>
      </c>
      <c r="M152">
        <v>38.54</v>
      </c>
      <c r="N152">
        <f t="shared" si="6"/>
        <v>462.04000000000008</v>
      </c>
      <c r="O152">
        <f t="shared" si="7"/>
        <v>50</v>
      </c>
    </row>
    <row r="153" spans="1:15" x14ac:dyDescent="0.25">
      <c r="A153" s="1" t="s">
        <v>151</v>
      </c>
      <c r="B153">
        <v>37.71</v>
      </c>
      <c r="C153">
        <v>38.35</v>
      </c>
      <c r="D153">
        <v>39.590000000000003</v>
      </c>
      <c r="E153">
        <v>41.87</v>
      </c>
      <c r="F153">
        <v>42.21</v>
      </c>
      <c r="G153">
        <v>42.55</v>
      </c>
      <c r="H153">
        <v>33.99</v>
      </c>
      <c r="I153">
        <v>34.06</v>
      </c>
      <c r="J153">
        <v>34.119999999999997</v>
      </c>
      <c r="K153">
        <v>38.9</v>
      </c>
      <c r="L153">
        <v>39</v>
      </c>
      <c r="M153">
        <v>39.11</v>
      </c>
      <c r="N153">
        <f t="shared" si="6"/>
        <v>461.46000000000004</v>
      </c>
      <c r="O153">
        <f t="shared" si="7"/>
        <v>50</v>
      </c>
    </row>
    <row r="154" spans="1:15" x14ac:dyDescent="0.25">
      <c r="A154" s="1" t="s">
        <v>152</v>
      </c>
      <c r="B154">
        <v>37.700000000000003</v>
      </c>
      <c r="C154">
        <v>38.35</v>
      </c>
      <c r="D154">
        <v>39.58</v>
      </c>
      <c r="E154">
        <v>41.66</v>
      </c>
      <c r="F154">
        <v>42</v>
      </c>
      <c r="G154">
        <v>42.34</v>
      </c>
      <c r="H154">
        <v>33.89</v>
      </c>
      <c r="I154">
        <v>33.950000000000003</v>
      </c>
      <c r="J154">
        <v>34.020000000000003</v>
      </c>
      <c r="K154">
        <v>38.92</v>
      </c>
      <c r="L154">
        <v>39.020000000000003</v>
      </c>
      <c r="M154">
        <v>39.130000000000003</v>
      </c>
      <c r="N154">
        <f t="shared" si="6"/>
        <v>460.56</v>
      </c>
      <c r="O154">
        <f t="shared" si="7"/>
        <v>50</v>
      </c>
    </row>
    <row r="155" spans="1:15" x14ac:dyDescent="0.25">
      <c r="A155" s="1" t="s">
        <v>153</v>
      </c>
      <c r="B155">
        <v>37.979999999999997</v>
      </c>
      <c r="C155">
        <v>38.630000000000003</v>
      </c>
      <c r="D155">
        <v>39.880000000000003</v>
      </c>
      <c r="E155">
        <v>42.15</v>
      </c>
      <c r="F155">
        <v>42.5</v>
      </c>
      <c r="G155">
        <v>42.84</v>
      </c>
      <c r="H155">
        <v>34.33</v>
      </c>
      <c r="I155">
        <v>34.4</v>
      </c>
      <c r="J155">
        <v>34.46</v>
      </c>
      <c r="K155">
        <v>38.729999999999997</v>
      </c>
      <c r="L155">
        <v>38.83</v>
      </c>
      <c r="M155">
        <v>38.94</v>
      </c>
      <c r="N155">
        <f t="shared" si="6"/>
        <v>463.66999999999996</v>
      </c>
      <c r="O155">
        <f t="shared" si="7"/>
        <v>50</v>
      </c>
    </row>
    <row r="156" spans="1:15" x14ac:dyDescent="0.25">
      <c r="A156" s="1" t="s">
        <v>154</v>
      </c>
      <c r="B156">
        <v>38.1</v>
      </c>
      <c r="C156">
        <v>38.75</v>
      </c>
      <c r="D156">
        <v>40</v>
      </c>
      <c r="E156">
        <v>42.43</v>
      </c>
      <c r="F156">
        <v>42.78</v>
      </c>
      <c r="G156">
        <v>43.13</v>
      </c>
      <c r="H156">
        <v>34.67</v>
      </c>
      <c r="I156">
        <v>34.729999999999997</v>
      </c>
      <c r="J156">
        <v>34.799999999999997</v>
      </c>
      <c r="K156">
        <v>38.85</v>
      </c>
      <c r="L156">
        <v>38.96</v>
      </c>
      <c r="M156">
        <v>39.07</v>
      </c>
      <c r="N156">
        <f t="shared" si="6"/>
        <v>466.27000000000004</v>
      </c>
      <c r="O156">
        <f t="shared" si="7"/>
        <v>50</v>
      </c>
    </row>
    <row r="157" spans="1:15" x14ac:dyDescent="0.25">
      <c r="A157" s="1" t="s">
        <v>155</v>
      </c>
      <c r="B157">
        <v>37.64</v>
      </c>
      <c r="C157">
        <v>38.29</v>
      </c>
      <c r="D157">
        <v>39.520000000000003</v>
      </c>
      <c r="E157">
        <v>41.67</v>
      </c>
      <c r="F157">
        <v>42.01</v>
      </c>
      <c r="G157">
        <v>42.36</v>
      </c>
      <c r="H157">
        <v>34.14</v>
      </c>
      <c r="I157">
        <v>34.200000000000003</v>
      </c>
      <c r="J157">
        <v>34.270000000000003</v>
      </c>
      <c r="K157">
        <v>39.04</v>
      </c>
      <c r="L157">
        <v>39.15</v>
      </c>
      <c r="M157">
        <v>39.26</v>
      </c>
      <c r="N157">
        <f t="shared" si="6"/>
        <v>461.54999999999995</v>
      </c>
      <c r="O157">
        <f t="shared" si="7"/>
        <v>50</v>
      </c>
    </row>
    <row r="158" spans="1:15" x14ac:dyDescent="0.25">
      <c r="A158" s="1" t="s">
        <v>156</v>
      </c>
      <c r="B158">
        <v>37.89</v>
      </c>
      <c r="C158">
        <v>38.54</v>
      </c>
      <c r="D158">
        <v>39.78</v>
      </c>
      <c r="E158">
        <v>42.08</v>
      </c>
      <c r="F158">
        <v>42.42</v>
      </c>
      <c r="G158">
        <v>42.77</v>
      </c>
      <c r="H158">
        <v>34.43</v>
      </c>
      <c r="I158">
        <v>34.5</v>
      </c>
      <c r="J158">
        <v>34.56</v>
      </c>
      <c r="K158">
        <v>39.5</v>
      </c>
      <c r="L158">
        <v>39.61</v>
      </c>
      <c r="M158">
        <v>39.72</v>
      </c>
      <c r="N158">
        <f t="shared" si="6"/>
        <v>465.80000000000007</v>
      </c>
      <c r="O158">
        <f t="shared" si="7"/>
        <v>50</v>
      </c>
    </row>
    <row r="159" spans="1:15" x14ac:dyDescent="0.25">
      <c r="A159" s="1" t="s">
        <v>157</v>
      </c>
      <c r="B159">
        <v>38.06</v>
      </c>
      <c r="C159">
        <v>38.72</v>
      </c>
      <c r="D159">
        <v>39.97</v>
      </c>
      <c r="E159">
        <v>42.67</v>
      </c>
      <c r="F159">
        <v>43.02</v>
      </c>
      <c r="G159">
        <v>43.38</v>
      </c>
      <c r="H159">
        <v>34.76</v>
      </c>
      <c r="I159">
        <v>34.83</v>
      </c>
      <c r="J159">
        <v>34.9</v>
      </c>
      <c r="K159">
        <v>40.159999999999997</v>
      </c>
      <c r="L159">
        <v>40.28</v>
      </c>
      <c r="M159">
        <v>40.39</v>
      </c>
      <c r="N159">
        <f t="shared" si="6"/>
        <v>471.14</v>
      </c>
      <c r="O159">
        <f t="shared" si="7"/>
        <v>50</v>
      </c>
    </row>
    <row r="160" spans="1:15" x14ac:dyDescent="0.25">
      <c r="A160" s="1" t="s">
        <v>158</v>
      </c>
      <c r="B160">
        <v>37.049999999999997</v>
      </c>
      <c r="C160">
        <v>37.69</v>
      </c>
      <c r="D160">
        <v>38.909999999999997</v>
      </c>
      <c r="E160">
        <v>41.16</v>
      </c>
      <c r="F160">
        <v>41.5</v>
      </c>
      <c r="G160">
        <v>41.84</v>
      </c>
      <c r="H160">
        <v>33.479999999999997</v>
      </c>
      <c r="I160">
        <v>33.54</v>
      </c>
      <c r="J160">
        <v>33.61</v>
      </c>
      <c r="K160">
        <v>40.26</v>
      </c>
      <c r="L160">
        <v>40.369999999999997</v>
      </c>
      <c r="M160">
        <v>40.49</v>
      </c>
      <c r="N160">
        <f t="shared" si="6"/>
        <v>459.90000000000003</v>
      </c>
      <c r="O160">
        <f t="shared" si="7"/>
        <v>50</v>
      </c>
    </row>
    <row r="161" spans="1:15" x14ac:dyDescent="0.25">
      <c r="A161" s="1" t="s">
        <v>159</v>
      </c>
      <c r="B161">
        <v>37.19</v>
      </c>
      <c r="C161">
        <v>37.83</v>
      </c>
      <c r="D161">
        <v>39.049999999999997</v>
      </c>
      <c r="E161">
        <v>40.79</v>
      </c>
      <c r="F161">
        <v>41.13</v>
      </c>
      <c r="G161">
        <v>41.47</v>
      </c>
      <c r="H161">
        <v>33.01</v>
      </c>
      <c r="I161">
        <v>33.07</v>
      </c>
      <c r="J161">
        <v>33.14</v>
      </c>
      <c r="K161">
        <v>40.76</v>
      </c>
      <c r="L161">
        <v>40.880000000000003</v>
      </c>
      <c r="M161">
        <v>41</v>
      </c>
      <c r="N161">
        <f t="shared" si="6"/>
        <v>459.31999999999994</v>
      </c>
      <c r="O161">
        <f t="shared" si="7"/>
        <v>50</v>
      </c>
    </row>
    <row r="162" spans="1:15" x14ac:dyDescent="0.25">
      <c r="A162" s="1" t="s">
        <v>160</v>
      </c>
      <c r="B162">
        <v>37.06</v>
      </c>
      <c r="C162">
        <v>37.71</v>
      </c>
      <c r="D162">
        <v>38.93</v>
      </c>
      <c r="E162">
        <v>40.33</v>
      </c>
      <c r="F162">
        <v>40.659999999999997</v>
      </c>
      <c r="G162">
        <v>41</v>
      </c>
      <c r="H162">
        <v>32.57</v>
      </c>
      <c r="I162">
        <v>32.64</v>
      </c>
      <c r="J162">
        <v>32.700000000000003</v>
      </c>
      <c r="K162">
        <v>41.42</v>
      </c>
      <c r="L162">
        <v>41.55</v>
      </c>
      <c r="M162">
        <v>41.66</v>
      </c>
      <c r="N162">
        <f t="shared" si="6"/>
        <v>458.23</v>
      </c>
      <c r="O162">
        <f t="shared" si="7"/>
        <v>0</v>
      </c>
    </row>
    <row r="163" spans="1:15" x14ac:dyDescent="0.25">
      <c r="A163" s="1" t="s">
        <v>161</v>
      </c>
      <c r="B163">
        <v>37.65</v>
      </c>
      <c r="C163">
        <v>38.31</v>
      </c>
      <c r="D163">
        <v>39.549999999999997</v>
      </c>
      <c r="E163">
        <v>41.32</v>
      </c>
      <c r="F163">
        <v>41.67</v>
      </c>
      <c r="G163">
        <v>42.01</v>
      </c>
      <c r="H163">
        <v>33.49</v>
      </c>
      <c r="I163">
        <v>33.56</v>
      </c>
      <c r="J163">
        <v>33.619999999999997</v>
      </c>
      <c r="K163">
        <v>41.47</v>
      </c>
      <c r="L163">
        <v>41.59</v>
      </c>
      <c r="M163">
        <v>41.71</v>
      </c>
      <c r="N163">
        <f t="shared" si="6"/>
        <v>465.95</v>
      </c>
      <c r="O163">
        <f t="shared" si="7"/>
        <v>50</v>
      </c>
    </row>
    <row r="164" spans="1:15" x14ac:dyDescent="0.25">
      <c r="A164" s="1" t="s">
        <v>162</v>
      </c>
      <c r="B164">
        <v>37.69</v>
      </c>
      <c r="C164">
        <v>38.340000000000003</v>
      </c>
      <c r="D164">
        <v>39.58</v>
      </c>
      <c r="E164">
        <v>41.23</v>
      </c>
      <c r="F164">
        <v>41.58</v>
      </c>
      <c r="G164">
        <v>41.92</v>
      </c>
      <c r="H164">
        <v>33.380000000000003</v>
      </c>
      <c r="I164">
        <v>33.450000000000003</v>
      </c>
      <c r="J164">
        <v>33.520000000000003</v>
      </c>
      <c r="K164">
        <v>41.28</v>
      </c>
      <c r="L164">
        <v>41.4</v>
      </c>
      <c r="M164">
        <v>41.52</v>
      </c>
      <c r="N164">
        <f t="shared" si="6"/>
        <v>464.89</v>
      </c>
      <c r="O164">
        <f t="shared" si="7"/>
        <v>50</v>
      </c>
    </row>
    <row r="165" spans="1:15" x14ac:dyDescent="0.25">
      <c r="A165" s="1" t="s">
        <v>163</v>
      </c>
      <c r="B165">
        <v>37.380000000000003</v>
      </c>
      <c r="C165">
        <v>38.03</v>
      </c>
      <c r="D165">
        <v>39.26</v>
      </c>
      <c r="E165">
        <v>41.05</v>
      </c>
      <c r="F165">
        <v>41.39</v>
      </c>
      <c r="G165">
        <v>41.74</v>
      </c>
      <c r="H165">
        <v>33.29</v>
      </c>
      <c r="I165">
        <v>33.36</v>
      </c>
      <c r="J165">
        <v>33.43</v>
      </c>
      <c r="K165">
        <v>41.25</v>
      </c>
      <c r="L165">
        <v>41.37</v>
      </c>
      <c r="M165">
        <v>41.49</v>
      </c>
      <c r="N165">
        <f t="shared" si="6"/>
        <v>463.04</v>
      </c>
      <c r="O165">
        <f t="shared" si="7"/>
        <v>50</v>
      </c>
    </row>
    <row r="166" spans="1:15" x14ac:dyDescent="0.25">
      <c r="A166" s="1" t="s">
        <v>164</v>
      </c>
      <c r="B166">
        <v>37.229999999999997</v>
      </c>
      <c r="C166">
        <v>37.880000000000003</v>
      </c>
      <c r="D166">
        <v>39.11</v>
      </c>
      <c r="E166">
        <v>40.799999999999997</v>
      </c>
      <c r="F166">
        <v>41.14</v>
      </c>
      <c r="G166">
        <v>41.49</v>
      </c>
      <c r="H166">
        <v>33</v>
      </c>
      <c r="I166">
        <v>33.07</v>
      </c>
      <c r="J166">
        <v>33.130000000000003</v>
      </c>
      <c r="K166">
        <v>42.02</v>
      </c>
      <c r="L166">
        <v>42.15</v>
      </c>
      <c r="M166">
        <v>42.27</v>
      </c>
      <c r="N166">
        <f t="shared" si="6"/>
        <v>463.28999999999991</v>
      </c>
      <c r="O166">
        <f t="shared" si="7"/>
        <v>0</v>
      </c>
    </row>
    <row r="167" spans="1:15" x14ac:dyDescent="0.25">
      <c r="A167" s="1" t="s">
        <v>165</v>
      </c>
      <c r="B167">
        <v>37.729999999999997</v>
      </c>
      <c r="C167">
        <v>38.39</v>
      </c>
      <c r="D167">
        <v>39.64</v>
      </c>
      <c r="E167">
        <v>41.61</v>
      </c>
      <c r="F167">
        <v>41.96</v>
      </c>
      <c r="G167">
        <v>42.31</v>
      </c>
      <c r="H167">
        <v>33.590000000000003</v>
      </c>
      <c r="I167">
        <v>33.659999999999997</v>
      </c>
      <c r="J167">
        <v>33.72</v>
      </c>
      <c r="K167">
        <v>42.43</v>
      </c>
      <c r="L167">
        <v>42.56</v>
      </c>
      <c r="M167">
        <v>42.68</v>
      </c>
      <c r="N167">
        <f t="shared" si="6"/>
        <v>470.28000000000003</v>
      </c>
      <c r="O167">
        <f t="shared" si="7"/>
        <v>50</v>
      </c>
    </row>
    <row r="168" spans="1:15" x14ac:dyDescent="0.25">
      <c r="A168" s="1" t="s">
        <v>166</v>
      </c>
      <c r="B168">
        <v>37.86</v>
      </c>
      <c r="C168">
        <v>38.520000000000003</v>
      </c>
      <c r="D168">
        <v>39.78</v>
      </c>
      <c r="E168">
        <v>41.88</v>
      </c>
      <c r="F168">
        <v>42.23</v>
      </c>
      <c r="G168">
        <v>42.59</v>
      </c>
      <c r="H168">
        <v>33.869999999999997</v>
      </c>
      <c r="I168">
        <v>33.94</v>
      </c>
      <c r="J168">
        <v>34.01</v>
      </c>
      <c r="K168">
        <v>42.57</v>
      </c>
      <c r="L168">
        <v>42.69</v>
      </c>
      <c r="M168">
        <v>42.82</v>
      </c>
      <c r="N168">
        <f t="shared" si="6"/>
        <v>472.75999999999993</v>
      </c>
      <c r="O168">
        <f t="shared" si="7"/>
        <v>50</v>
      </c>
    </row>
    <row r="169" spans="1:15" x14ac:dyDescent="0.25">
      <c r="A169" s="1" t="s">
        <v>167</v>
      </c>
      <c r="B169">
        <v>37.86</v>
      </c>
      <c r="C169">
        <v>38.520000000000003</v>
      </c>
      <c r="D169">
        <v>39.770000000000003</v>
      </c>
      <c r="E169">
        <v>41.38</v>
      </c>
      <c r="F169">
        <v>41.73</v>
      </c>
      <c r="G169">
        <v>42.08</v>
      </c>
      <c r="H169">
        <v>33.51</v>
      </c>
      <c r="I169">
        <v>33.58</v>
      </c>
      <c r="J169">
        <v>33.65</v>
      </c>
      <c r="K169">
        <v>42.35</v>
      </c>
      <c r="L169">
        <v>42.48</v>
      </c>
      <c r="M169">
        <v>42.61</v>
      </c>
      <c r="N169">
        <f t="shared" si="6"/>
        <v>469.52</v>
      </c>
      <c r="O169">
        <f t="shared" si="7"/>
        <v>50</v>
      </c>
    </row>
    <row r="170" spans="1:15" x14ac:dyDescent="0.25">
      <c r="A170" s="1" t="s">
        <v>168</v>
      </c>
      <c r="B170">
        <v>38.700000000000003</v>
      </c>
      <c r="C170">
        <v>39.369999999999997</v>
      </c>
      <c r="D170">
        <v>40.65</v>
      </c>
      <c r="E170">
        <v>42.47</v>
      </c>
      <c r="F170">
        <v>42.83</v>
      </c>
      <c r="G170">
        <v>43.19</v>
      </c>
      <c r="H170">
        <v>34.64</v>
      </c>
      <c r="I170">
        <v>34.72</v>
      </c>
      <c r="J170">
        <v>34.79</v>
      </c>
      <c r="K170">
        <v>41.6</v>
      </c>
      <c r="L170">
        <v>41.73</v>
      </c>
      <c r="M170">
        <v>41.85</v>
      </c>
      <c r="N170">
        <f t="shared" si="6"/>
        <v>476.54</v>
      </c>
      <c r="O170">
        <f t="shared" si="7"/>
        <v>50</v>
      </c>
    </row>
    <row r="171" spans="1:15" x14ac:dyDescent="0.25">
      <c r="A171" s="1" t="s">
        <v>169</v>
      </c>
      <c r="B171">
        <v>38.64</v>
      </c>
      <c r="C171">
        <v>39.32</v>
      </c>
      <c r="D171">
        <v>40.6</v>
      </c>
      <c r="E171">
        <v>42.4</v>
      </c>
      <c r="F171">
        <v>42.76</v>
      </c>
      <c r="G171">
        <v>43.12</v>
      </c>
      <c r="H171">
        <v>34.69</v>
      </c>
      <c r="I171">
        <v>34.76</v>
      </c>
      <c r="J171">
        <v>34.840000000000003</v>
      </c>
      <c r="K171">
        <v>40.840000000000003</v>
      </c>
      <c r="L171">
        <v>40.97</v>
      </c>
      <c r="M171">
        <v>41.09</v>
      </c>
      <c r="N171">
        <f t="shared" si="6"/>
        <v>474.03000000000009</v>
      </c>
      <c r="O171">
        <f t="shared" si="7"/>
        <v>50</v>
      </c>
    </row>
    <row r="172" spans="1:15" x14ac:dyDescent="0.25">
      <c r="A172" s="1" t="s">
        <v>170</v>
      </c>
      <c r="B172">
        <v>38.479999999999997</v>
      </c>
      <c r="C172">
        <v>39.15</v>
      </c>
      <c r="D172">
        <v>40.43</v>
      </c>
      <c r="E172">
        <v>41.47</v>
      </c>
      <c r="F172">
        <v>41.82</v>
      </c>
      <c r="G172">
        <v>42.18</v>
      </c>
      <c r="H172">
        <v>33.93</v>
      </c>
      <c r="I172">
        <v>34</v>
      </c>
      <c r="J172">
        <v>34.07</v>
      </c>
      <c r="K172">
        <v>39.909999999999997</v>
      </c>
      <c r="L172">
        <v>40.03</v>
      </c>
      <c r="M172">
        <v>40.15</v>
      </c>
      <c r="N172">
        <f t="shared" si="6"/>
        <v>465.61999999999989</v>
      </c>
      <c r="O172">
        <f t="shared" si="7"/>
        <v>50</v>
      </c>
    </row>
    <row r="173" spans="1:15" x14ac:dyDescent="0.25">
      <c r="A173" s="1" t="s">
        <v>171</v>
      </c>
      <c r="B173">
        <v>37.86</v>
      </c>
      <c r="C173">
        <v>38.53</v>
      </c>
      <c r="D173">
        <v>39.78</v>
      </c>
      <c r="E173">
        <v>40.99</v>
      </c>
      <c r="F173">
        <v>41.33</v>
      </c>
      <c r="G173">
        <v>41.69</v>
      </c>
      <c r="H173">
        <v>33.369999999999997</v>
      </c>
      <c r="I173">
        <v>33.44</v>
      </c>
      <c r="J173">
        <v>33.51</v>
      </c>
      <c r="K173">
        <v>39.659999999999997</v>
      </c>
      <c r="L173">
        <v>39.78</v>
      </c>
      <c r="M173">
        <v>39.909999999999997</v>
      </c>
      <c r="N173">
        <f t="shared" si="6"/>
        <v>459.84999999999991</v>
      </c>
      <c r="O173">
        <f t="shared" si="7"/>
        <v>50</v>
      </c>
    </row>
    <row r="174" spans="1:15" x14ac:dyDescent="0.25">
      <c r="A174" s="1" t="s">
        <v>172</v>
      </c>
      <c r="B174">
        <v>38.69</v>
      </c>
      <c r="C174">
        <v>39.369999999999997</v>
      </c>
      <c r="D174">
        <v>40.659999999999997</v>
      </c>
      <c r="E174">
        <v>42.95</v>
      </c>
      <c r="F174">
        <v>43.32</v>
      </c>
      <c r="G174">
        <v>43.69</v>
      </c>
      <c r="H174">
        <v>34.92</v>
      </c>
      <c r="I174">
        <v>34.99</v>
      </c>
      <c r="J174">
        <v>35.06</v>
      </c>
      <c r="K174">
        <v>40.17</v>
      </c>
      <c r="L174">
        <v>40.29</v>
      </c>
      <c r="M174">
        <v>40.42</v>
      </c>
      <c r="N174">
        <f t="shared" si="6"/>
        <v>474.53000000000009</v>
      </c>
      <c r="O174">
        <f t="shared" si="7"/>
        <v>50</v>
      </c>
    </row>
    <row r="175" spans="1:15" x14ac:dyDescent="0.25">
      <c r="A175" s="1" t="s">
        <v>173</v>
      </c>
      <c r="B175">
        <v>38.28</v>
      </c>
      <c r="C175">
        <v>38.96</v>
      </c>
      <c r="D175">
        <v>40.229999999999997</v>
      </c>
      <c r="E175">
        <v>42.81</v>
      </c>
      <c r="F175">
        <v>43.18</v>
      </c>
      <c r="G175">
        <v>43.55</v>
      </c>
      <c r="H175">
        <v>34.78</v>
      </c>
      <c r="I175">
        <v>34.86</v>
      </c>
      <c r="J175">
        <v>34.93</v>
      </c>
      <c r="K175">
        <v>37.979999999999997</v>
      </c>
      <c r="L175">
        <v>38.1</v>
      </c>
      <c r="M175">
        <v>38.22</v>
      </c>
      <c r="N175">
        <f t="shared" si="6"/>
        <v>465.88</v>
      </c>
      <c r="O175">
        <f t="shared" si="7"/>
        <v>50</v>
      </c>
    </row>
    <row r="176" spans="1:15" x14ac:dyDescent="0.25">
      <c r="A176" s="1" t="s">
        <v>174</v>
      </c>
      <c r="B176">
        <v>37.51</v>
      </c>
      <c r="C176">
        <v>38.17</v>
      </c>
      <c r="D176">
        <v>39.42</v>
      </c>
      <c r="E176">
        <v>41.72</v>
      </c>
      <c r="F176">
        <v>42.08</v>
      </c>
      <c r="G176">
        <v>42.44</v>
      </c>
      <c r="H176">
        <v>33.950000000000003</v>
      </c>
      <c r="I176">
        <v>34.03</v>
      </c>
      <c r="J176">
        <v>34.1</v>
      </c>
      <c r="K176">
        <v>37.47</v>
      </c>
      <c r="L176">
        <v>37.590000000000003</v>
      </c>
      <c r="M176">
        <v>37.71</v>
      </c>
      <c r="N176">
        <f t="shared" si="6"/>
        <v>456.19</v>
      </c>
      <c r="O176">
        <f t="shared" si="7"/>
        <v>50</v>
      </c>
    </row>
    <row r="177" spans="1:15" x14ac:dyDescent="0.25">
      <c r="A177" s="1" t="s">
        <v>175</v>
      </c>
      <c r="B177">
        <v>36.64</v>
      </c>
      <c r="C177">
        <v>37.29</v>
      </c>
      <c r="D177">
        <v>38.51</v>
      </c>
      <c r="E177">
        <v>39.79</v>
      </c>
      <c r="F177">
        <v>40.130000000000003</v>
      </c>
      <c r="G177">
        <v>40.479999999999997</v>
      </c>
      <c r="H177">
        <v>32.450000000000003</v>
      </c>
      <c r="I177">
        <v>32.520000000000003</v>
      </c>
      <c r="J177">
        <v>32.590000000000003</v>
      </c>
      <c r="K177">
        <v>37.32</v>
      </c>
      <c r="L177">
        <v>37.44</v>
      </c>
      <c r="M177">
        <v>37.56</v>
      </c>
      <c r="N177">
        <f t="shared" si="6"/>
        <v>442.71999999999997</v>
      </c>
      <c r="O177">
        <f t="shared" si="7"/>
        <v>0</v>
      </c>
    </row>
    <row r="178" spans="1:15" x14ac:dyDescent="0.25">
      <c r="A178" s="1" t="s">
        <v>176</v>
      </c>
      <c r="B178">
        <v>36.47</v>
      </c>
      <c r="C178">
        <v>37.11</v>
      </c>
      <c r="D178">
        <v>38.33</v>
      </c>
      <c r="E178">
        <v>39.35</v>
      </c>
      <c r="F178">
        <v>39.68</v>
      </c>
      <c r="G178">
        <v>40.020000000000003</v>
      </c>
      <c r="H178">
        <v>32.119999999999997</v>
      </c>
      <c r="I178">
        <v>32.18</v>
      </c>
      <c r="J178">
        <v>32.25</v>
      </c>
      <c r="K178">
        <v>38.159999999999997</v>
      </c>
      <c r="L178">
        <v>38.28</v>
      </c>
      <c r="M178">
        <v>38.4</v>
      </c>
      <c r="N178">
        <f t="shared" si="6"/>
        <v>442.34999999999991</v>
      </c>
      <c r="O178">
        <f t="shared" si="7"/>
        <v>0</v>
      </c>
    </row>
    <row r="179" spans="1:15" x14ac:dyDescent="0.25">
      <c r="A179" s="1" t="s">
        <v>177</v>
      </c>
      <c r="B179">
        <v>35.04</v>
      </c>
      <c r="C179">
        <v>35.65</v>
      </c>
      <c r="D179">
        <v>36.82</v>
      </c>
      <c r="E179">
        <v>37.409999999999997</v>
      </c>
      <c r="F179">
        <v>37.729999999999997</v>
      </c>
      <c r="G179">
        <v>38.049999999999997</v>
      </c>
      <c r="H179">
        <v>30.78</v>
      </c>
      <c r="I179">
        <v>30.85</v>
      </c>
      <c r="J179">
        <v>30.91</v>
      </c>
      <c r="K179">
        <v>36.340000000000003</v>
      </c>
      <c r="L179">
        <v>36.450000000000003</v>
      </c>
      <c r="M179">
        <v>36.57</v>
      </c>
      <c r="N179">
        <f t="shared" si="6"/>
        <v>422.6</v>
      </c>
      <c r="O179">
        <f t="shared" si="7"/>
        <v>0</v>
      </c>
    </row>
    <row r="180" spans="1:15" x14ac:dyDescent="0.25">
      <c r="A180" s="1" t="s">
        <v>178</v>
      </c>
      <c r="B180">
        <v>34.020000000000003</v>
      </c>
      <c r="C180">
        <v>34.630000000000003</v>
      </c>
      <c r="D180">
        <v>35.76</v>
      </c>
      <c r="E180">
        <v>36.1</v>
      </c>
      <c r="F180">
        <v>36.409999999999997</v>
      </c>
      <c r="G180">
        <v>36.72</v>
      </c>
      <c r="H180">
        <v>29.65</v>
      </c>
      <c r="I180">
        <v>29.71</v>
      </c>
      <c r="J180">
        <v>29.77</v>
      </c>
      <c r="K180">
        <v>35.89</v>
      </c>
      <c r="L180">
        <v>36.01</v>
      </c>
      <c r="M180">
        <v>36.119999999999997</v>
      </c>
      <c r="N180">
        <f t="shared" si="6"/>
        <v>410.78999999999996</v>
      </c>
      <c r="O180">
        <f t="shared" si="7"/>
        <v>0</v>
      </c>
    </row>
    <row r="181" spans="1:15" x14ac:dyDescent="0.25">
      <c r="A181" s="1" t="s">
        <v>179</v>
      </c>
      <c r="B181">
        <v>33.61</v>
      </c>
      <c r="C181">
        <v>34.200000000000003</v>
      </c>
      <c r="D181">
        <v>35.32</v>
      </c>
      <c r="E181">
        <v>34.799999999999997</v>
      </c>
      <c r="F181">
        <v>35.1</v>
      </c>
      <c r="G181">
        <v>35.4</v>
      </c>
      <c r="H181">
        <v>28.65</v>
      </c>
      <c r="I181">
        <v>28.71</v>
      </c>
      <c r="J181">
        <v>28.77</v>
      </c>
      <c r="K181">
        <v>34.81</v>
      </c>
      <c r="L181">
        <v>34.93</v>
      </c>
      <c r="M181">
        <v>35.04</v>
      </c>
      <c r="N181">
        <f t="shared" si="6"/>
        <v>399.34000000000003</v>
      </c>
      <c r="O181">
        <f t="shared" si="7"/>
        <v>0</v>
      </c>
    </row>
    <row r="182" spans="1:15" x14ac:dyDescent="0.25">
      <c r="A182" s="1" t="s">
        <v>180</v>
      </c>
      <c r="B182">
        <v>33.22</v>
      </c>
      <c r="C182">
        <v>33.81</v>
      </c>
      <c r="D182">
        <v>34.92</v>
      </c>
      <c r="E182">
        <v>34.22</v>
      </c>
      <c r="F182">
        <v>34.520000000000003</v>
      </c>
      <c r="G182">
        <v>34.82</v>
      </c>
      <c r="H182">
        <v>28.02</v>
      </c>
      <c r="I182">
        <v>28.09</v>
      </c>
      <c r="J182">
        <v>28.15</v>
      </c>
      <c r="K182">
        <v>34.47</v>
      </c>
      <c r="L182">
        <v>34.58</v>
      </c>
      <c r="M182">
        <v>34.69</v>
      </c>
      <c r="N182">
        <f t="shared" si="6"/>
        <v>393.51</v>
      </c>
      <c r="O182">
        <f t="shared" si="7"/>
        <v>0</v>
      </c>
    </row>
    <row r="183" spans="1:15" x14ac:dyDescent="0.25">
      <c r="A183" s="1" t="s">
        <v>181</v>
      </c>
      <c r="B183">
        <v>35.54</v>
      </c>
      <c r="C183">
        <v>36.17</v>
      </c>
      <c r="D183">
        <v>37.35</v>
      </c>
      <c r="E183">
        <v>38.119999999999997</v>
      </c>
      <c r="F183">
        <v>38.450000000000003</v>
      </c>
      <c r="G183">
        <v>38.78</v>
      </c>
      <c r="H183">
        <v>30.75</v>
      </c>
      <c r="I183">
        <v>30.82</v>
      </c>
      <c r="J183">
        <v>30.89</v>
      </c>
      <c r="K183">
        <v>37.56</v>
      </c>
      <c r="L183">
        <v>37.68</v>
      </c>
      <c r="M183">
        <v>37.799999999999997</v>
      </c>
      <c r="N183">
        <f t="shared" si="6"/>
        <v>429.91</v>
      </c>
      <c r="O183">
        <f t="shared" si="7"/>
        <v>0</v>
      </c>
    </row>
    <row r="184" spans="1:15" x14ac:dyDescent="0.25">
      <c r="A184" s="1" t="s">
        <v>182</v>
      </c>
      <c r="B184">
        <v>35.01</v>
      </c>
      <c r="C184">
        <v>35.64</v>
      </c>
      <c r="D184">
        <v>36.81</v>
      </c>
      <c r="E184">
        <v>37.130000000000003</v>
      </c>
      <c r="F184">
        <v>37.46</v>
      </c>
      <c r="G184">
        <v>37.78</v>
      </c>
      <c r="H184">
        <v>29.96</v>
      </c>
      <c r="I184">
        <v>30.02</v>
      </c>
      <c r="J184">
        <v>30.09</v>
      </c>
      <c r="K184">
        <v>36.51</v>
      </c>
      <c r="L184">
        <v>36.630000000000003</v>
      </c>
      <c r="M184">
        <v>36.75</v>
      </c>
      <c r="N184">
        <f t="shared" si="6"/>
        <v>419.78999999999996</v>
      </c>
      <c r="O184">
        <f t="shared" si="7"/>
        <v>0</v>
      </c>
    </row>
    <row r="185" spans="1:15" x14ac:dyDescent="0.25">
      <c r="A185" s="1" t="s">
        <v>183</v>
      </c>
      <c r="B185">
        <v>34.26</v>
      </c>
      <c r="C185">
        <v>34.869999999999997</v>
      </c>
      <c r="D185">
        <v>36.020000000000003</v>
      </c>
      <c r="E185">
        <v>36.229999999999997</v>
      </c>
      <c r="F185">
        <v>36.549999999999997</v>
      </c>
      <c r="G185">
        <v>36.869999999999997</v>
      </c>
      <c r="H185">
        <v>29.18</v>
      </c>
      <c r="I185">
        <v>29.24</v>
      </c>
      <c r="J185">
        <v>29.31</v>
      </c>
      <c r="K185">
        <v>35.86</v>
      </c>
      <c r="L185">
        <v>35.979999999999997</v>
      </c>
      <c r="M185">
        <v>36.1</v>
      </c>
      <c r="N185">
        <f t="shared" si="6"/>
        <v>410.47000000000008</v>
      </c>
      <c r="O185">
        <f t="shared" si="7"/>
        <v>0</v>
      </c>
    </row>
    <row r="186" spans="1:15" x14ac:dyDescent="0.25">
      <c r="A186" s="1" t="s">
        <v>184</v>
      </c>
      <c r="B186">
        <v>34.36</v>
      </c>
      <c r="C186">
        <v>34.97</v>
      </c>
      <c r="D186">
        <v>36.119999999999997</v>
      </c>
      <c r="E186">
        <v>36.229999999999997</v>
      </c>
      <c r="F186">
        <v>36.549999999999997</v>
      </c>
      <c r="G186">
        <v>36.869999999999997</v>
      </c>
      <c r="H186">
        <v>29.16</v>
      </c>
      <c r="I186">
        <v>29.22</v>
      </c>
      <c r="J186">
        <v>29.29</v>
      </c>
      <c r="K186">
        <v>36.31</v>
      </c>
      <c r="L186">
        <v>36.43</v>
      </c>
      <c r="M186">
        <v>36.549999999999997</v>
      </c>
      <c r="N186">
        <f t="shared" si="6"/>
        <v>412.06</v>
      </c>
      <c r="O186">
        <f t="shared" si="7"/>
        <v>0</v>
      </c>
    </row>
    <row r="187" spans="1:15" x14ac:dyDescent="0.25">
      <c r="A187" s="1" t="s">
        <v>185</v>
      </c>
      <c r="B187">
        <v>35.19</v>
      </c>
      <c r="C187">
        <v>35.82</v>
      </c>
      <c r="D187">
        <v>37</v>
      </c>
      <c r="E187">
        <v>37.19</v>
      </c>
      <c r="F187">
        <v>37.51</v>
      </c>
      <c r="G187">
        <v>37.840000000000003</v>
      </c>
      <c r="H187">
        <v>30.12</v>
      </c>
      <c r="I187">
        <v>30.19</v>
      </c>
      <c r="J187">
        <v>30.25</v>
      </c>
      <c r="K187">
        <v>36.96</v>
      </c>
      <c r="L187">
        <v>37.090000000000003</v>
      </c>
      <c r="M187">
        <v>37.21</v>
      </c>
      <c r="N187">
        <f t="shared" si="6"/>
        <v>422.36999999999995</v>
      </c>
      <c r="O187">
        <f t="shared" si="7"/>
        <v>0</v>
      </c>
    </row>
    <row r="188" spans="1:15" x14ac:dyDescent="0.25">
      <c r="A188" s="1" t="s">
        <v>186</v>
      </c>
      <c r="B188">
        <v>35.01</v>
      </c>
      <c r="C188">
        <v>35.630000000000003</v>
      </c>
      <c r="D188">
        <v>36.81</v>
      </c>
      <c r="E188">
        <v>37</v>
      </c>
      <c r="F188">
        <v>37.33</v>
      </c>
      <c r="G188">
        <v>37.659999999999997</v>
      </c>
      <c r="H188">
        <v>29.96</v>
      </c>
      <c r="I188">
        <v>30.02</v>
      </c>
      <c r="J188">
        <v>30.09</v>
      </c>
      <c r="K188">
        <v>35.729999999999997</v>
      </c>
      <c r="L188">
        <v>35.86</v>
      </c>
      <c r="M188">
        <v>35.979999999999997</v>
      </c>
      <c r="N188">
        <f t="shared" si="6"/>
        <v>417.08</v>
      </c>
      <c r="O188">
        <f t="shared" si="7"/>
        <v>0</v>
      </c>
    </row>
    <row r="189" spans="1:15" x14ac:dyDescent="0.25">
      <c r="A189" s="1" t="s">
        <v>187</v>
      </c>
      <c r="B189">
        <v>33.42</v>
      </c>
      <c r="C189">
        <v>34.01</v>
      </c>
      <c r="D189">
        <v>35.14</v>
      </c>
      <c r="E189">
        <v>35.43</v>
      </c>
      <c r="F189">
        <v>35.74</v>
      </c>
      <c r="G189">
        <v>36.06</v>
      </c>
      <c r="H189">
        <v>28.6</v>
      </c>
      <c r="I189">
        <v>28.67</v>
      </c>
      <c r="J189">
        <v>28.73</v>
      </c>
      <c r="K189">
        <v>32.94</v>
      </c>
      <c r="L189">
        <v>33.049999999999997</v>
      </c>
      <c r="M189">
        <v>33.159999999999997</v>
      </c>
      <c r="N189">
        <f t="shared" si="6"/>
        <v>394.95000000000005</v>
      </c>
      <c r="O189">
        <f t="shared" si="7"/>
        <v>0</v>
      </c>
    </row>
    <row r="190" spans="1:15" x14ac:dyDescent="0.25">
      <c r="A190" s="1" t="s">
        <v>188</v>
      </c>
      <c r="B190">
        <v>33.700000000000003</v>
      </c>
      <c r="C190">
        <v>34.31</v>
      </c>
      <c r="D190">
        <v>35.44</v>
      </c>
      <c r="E190">
        <v>35.340000000000003</v>
      </c>
      <c r="F190">
        <v>35.65</v>
      </c>
      <c r="G190">
        <v>35.96</v>
      </c>
      <c r="H190">
        <v>28.51</v>
      </c>
      <c r="I190">
        <v>28.57</v>
      </c>
      <c r="J190">
        <v>28.64</v>
      </c>
      <c r="K190">
        <v>33.89</v>
      </c>
      <c r="L190">
        <v>34.01</v>
      </c>
      <c r="M190">
        <v>34.119999999999997</v>
      </c>
      <c r="N190">
        <f t="shared" si="6"/>
        <v>398.14</v>
      </c>
      <c r="O190">
        <f t="shared" si="7"/>
        <v>0</v>
      </c>
    </row>
    <row r="191" spans="1:15" x14ac:dyDescent="0.25">
      <c r="A191" s="1" t="s">
        <v>189</v>
      </c>
      <c r="B191">
        <v>33.799999999999997</v>
      </c>
      <c r="C191">
        <v>34.409999999999997</v>
      </c>
      <c r="D191">
        <v>35.54</v>
      </c>
      <c r="E191">
        <v>35.42</v>
      </c>
      <c r="F191">
        <v>35.729999999999997</v>
      </c>
      <c r="G191">
        <v>36.049999999999997</v>
      </c>
      <c r="H191">
        <v>28.61</v>
      </c>
      <c r="I191">
        <v>28.67</v>
      </c>
      <c r="J191">
        <v>28.74</v>
      </c>
      <c r="K191">
        <v>33.130000000000003</v>
      </c>
      <c r="L191">
        <v>33.24</v>
      </c>
      <c r="M191">
        <v>33.35</v>
      </c>
      <c r="N191">
        <f t="shared" si="6"/>
        <v>396.69000000000005</v>
      </c>
      <c r="O191">
        <f t="shared" si="7"/>
        <v>0</v>
      </c>
    </row>
    <row r="192" spans="1:15" x14ac:dyDescent="0.25">
      <c r="A192" s="1" t="s">
        <v>190</v>
      </c>
      <c r="B192">
        <v>33.28</v>
      </c>
      <c r="C192">
        <v>33.869999999999997</v>
      </c>
      <c r="D192">
        <v>34.99</v>
      </c>
      <c r="E192">
        <v>35.04</v>
      </c>
      <c r="F192">
        <v>35.35</v>
      </c>
      <c r="G192">
        <v>35.67</v>
      </c>
      <c r="H192">
        <v>28.29</v>
      </c>
      <c r="I192">
        <v>28.35</v>
      </c>
      <c r="J192">
        <v>28.41</v>
      </c>
      <c r="K192">
        <v>31.45</v>
      </c>
      <c r="L192">
        <v>31.56</v>
      </c>
      <c r="M192">
        <v>31.66</v>
      </c>
      <c r="N192">
        <f t="shared" si="6"/>
        <v>387.92</v>
      </c>
      <c r="O192">
        <f t="shared" si="7"/>
        <v>0</v>
      </c>
    </row>
    <row r="193" spans="1:15" x14ac:dyDescent="0.25">
      <c r="A193" s="1" t="s">
        <v>191</v>
      </c>
      <c r="B193">
        <v>33.51</v>
      </c>
      <c r="C193">
        <v>34.11</v>
      </c>
      <c r="D193">
        <v>35.24</v>
      </c>
      <c r="E193">
        <v>35.17</v>
      </c>
      <c r="F193">
        <v>35.479999999999997</v>
      </c>
      <c r="G193">
        <v>35.799999999999997</v>
      </c>
      <c r="H193">
        <v>28.52</v>
      </c>
      <c r="I193">
        <v>28.58</v>
      </c>
      <c r="J193">
        <v>28.65</v>
      </c>
      <c r="K193">
        <v>32.380000000000003</v>
      </c>
      <c r="L193">
        <v>32.5</v>
      </c>
      <c r="M193">
        <v>32.61</v>
      </c>
      <c r="N193">
        <f t="shared" si="6"/>
        <v>392.55</v>
      </c>
      <c r="O193">
        <f t="shared" si="7"/>
        <v>0</v>
      </c>
    </row>
    <row r="194" spans="1:15" x14ac:dyDescent="0.25">
      <c r="A194" s="1" t="s">
        <v>192</v>
      </c>
      <c r="B194">
        <v>31.36</v>
      </c>
      <c r="C194">
        <v>31.92</v>
      </c>
      <c r="D194">
        <v>32.979999999999997</v>
      </c>
      <c r="E194">
        <v>31.8</v>
      </c>
      <c r="F194">
        <v>32.090000000000003</v>
      </c>
      <c r="G194">
        <v>32.369999999999997</v>
      </c>
      <c r="H194">
        <v>25.9</v>
      </c>
      <c r="I194">
        <v>25.96</v>
      </c>
      <c r="J194">
        <v>26.02</v>
      </c>
      <c r="K194">
        <v>29.51</v>
      </c>
      <c r="L194">
        <v>29.61</v>
      </c>
      <c r="M194">
        <v>29.71</v>
      </c>
      <c r="N194">
        <f t="shared" si="6"/>
        <v>359.23</v>
      </c>
      <c r="O194">
        <f t="shared" si="7"/>
        <v>0</v>
      </c>
    </row>
    <row r="195" spans="1:15" x14ac:dyDescent="0.25">
      <c r="A195" s="1" t="s">
        <v>193</v>
      </c>
      <c r="B195">
        <v>30.58</v>
      </c>
      <c r="C195">
        <v>31.13</v>
      </c>
      <c r="D195">
        <v>32.159999999999997</v>
      </c>
      <c r="E195">
        <v>31.13</v>
      </c>
      <c r="F195">
        <v>31.41</v>
      </c>
      <c r="G195">
        <v>31.69</v>
      </c>
      <c r="H195">
        <v>25.47</v>
      </c>
      <c r="I195">
        <v>25.53</v>
      </c>
      <c r="J195">
        <v>25.59</v>
      </c>
      <c r="K195">
        <v>27.71</v>
      </c>
      <c r="L195">
        <v>27.81</v>
      </c>
      <c r="M195">
        <v>27.9</v>
      </c>
      <c r="N195">
        <f t="shared" ref="N195:N253" si="8">SUM(B195:M195)</f>
        <v>348.10999999999996</v>
      </c>
      <c r="O195">
        <f t="shared" ref="O195:O253" si="9">IF(COUNTIF(B195:M195,"&gt;33")=12,50,0)</f>
        <v>0</v>
      </c>
    </row>
    <row r="196" spans="1:15" x14ac:dyDescent="0.25">
      <c r="A196" s="1" t="s">
        <v>194</v>
      </c>
      <c r="B196">
        <v>29.42</v>
      </c>
      <c r="C196">
        <v>29.94</v>
      </c>
      <c r="D196">
        <v>30.94</v>
      </c>
      <c r="E196">
        <v>29.09</v>
      </c>
      <c r="F196">
        <v>29.35</v>
      </c>
      <c r="G196">
        <v>29.61</v>
      </c>
      <c r="H196">
        <v>23.86</v>
      </c>
      <c r="I196">
        <v>23.91</v>
      </c>
      <c r="J196">
        <v>23.97</v>
      </c>
      <c r="K196">
        <v>26.72</v>
      </c>
      <c r="L196">
        <v>26.82</v>
      </c>
      <c r="M196">
        <v>26.91</v>
      </c>
      <c r="N196">
        <f t="shared" si="8"/>
        <v>330.54000000000008</v>
      </c>
      <c r="O196">
        <f t="shared" si="9"/>
        <v>0</v>
      </c>
    </row>
    <row r="197" spans="1:15" x14ac:dyDescent="0.25">
      <c r="A197" s="1" t="s">
        <v>195</v>
      </c>
      <c r="B197">
        <v>29.01</v>
      </c>
      <c r="C197">
        <v>29.53</v>
      </c>
      <c r="D197">
        <v>30.51</v>
      </c>
      <c r="E197">
        <v>28.03</v>
      </c>
      <c r="F197">
        <v>28.29</v>
      </c>
      <c r="G197">
        <v>28.54</v>
      </c>
      <c r="H197">
        <v>23.49</v>
      </c>
      <c r="I197">
        <v>23.54</v>
      </c>
      <c r="J197">
        <v>23.6</v>
      </c>
      <c r="K197">
        <v>25.67</v>
      </c>
      <c r="L197">
        <v>25.76</v>
      </c>
      <c r="M197">
        <v>25.86</v>
      </c>
      <c r="N197">
        <f t="shared" si="8"/>
        <v>321.83</v>
      </c>
      <c r="O197">
        <f t="shared" si="9"/>
        <v>0</v>
      </c>
    </row>
    <row r="198" spans="1:15" x14ac:dyDescent="0.25">
      <c r="A198" s="1" t="s">
        <v>196</v>
      </c>
      <c r="B198">
        <v>26.56</v>
      </c>
      <c r="C198">
        <v>27.04</v>
      </c>
      <c r="D198">
        <v>27.94</v>
      </c>
      <c r="E198">
        <v>25.77</v>
      </c>
      <c r="F198">
        <v>26</v>
      </c>
      <c r="G198">
        <v>26.23</v>
      </c>
      <c r="H198">
        <v>21.38</v>
      </c>
      <c r="I198">
        <v>21.43</v>
      </c>
      <c r="J198">
        <v>21.48</v>
      </c>
      <c r="K198">
        <v>25.01</v>
      </c>
      <c r="L198">
        <v>25.1</v>
      </c>
      <c r="M198">
        <v>25.19</v>
      </c>
      <c r="N198">
        <f t="shared" si="8"/>
        <v>299.13</v>
      </c>
      <c r="O198">
        <f t="shared" si="9"/>
        <v>0</v>
      </c>
    </row>
    <row r="199" spans="1:15" x14ac:dyDescent="0.25">
      <c r="A199" s="1" t="s">
        <v>197</v>
      </c>
      <c r="B199">
        <v>27.75</v>
      </c>
      <c r="C199">
        <v>28.25</v>
      </c>
      <c r="D199">
        <v>29.19</v>
      </c>
      <c r="E199">
        <v>27.25</v>
      </c>
      <c r="F199">
        <v>27.5</v>
      </c>
      <c r="G199">
        <v>27.75</v>
      </c>
      <c r="H199">
        <v>22.31</v>
      </c>
      <c r="I199">
        <v>22.36</v>
      </c>
      <c r="J199">
        <v>22.41</v>
      </c>
      <c r="K199">
        <v>28.34</v>
      </c>
      <c r="L199">
        <v>28.44</v>
      </c>
      <c r="M199">
        <v>28.54</v>
      </c>
      <c r="N199">
        <f t="shared" si="8"/>
        <v>320.09000000000003</v>
      </c>
      <c r="O199">
        <f t="shared" si="9"/>
        <v>0</v>
      </c>
    </row>
    <row r="200" spans="1:15" x14ac:dyDescent="0.25">
      <c r="A200" s="1" t="s">
        <v>198</v>
      </c>
      <c r="B200">
        <v>28.94</v>
      </c>
      <c r="C200">
        <v>29.46</v>
      </c>
      <c r="D200">
        <v>30.44</v>
      </c>
      <c r="E200">
        <v>28.96</v>
      </c>
      <c r="F200">
        <v>29.22</v>
      </c>
      <c r="G200">
        <v>29.48</v>
      </c>
      <c r="H200">
        <v>23.44</v>
      </c>
      <c r="I200">
        <v>23.49</v>
      </c>
      <c r="J200">
        <v>23.55</v>
      </c>
      <c r="K200">
        <v>28.9</v>
      </c>
      <c r="L200">
        <v>29</v>
      </c>
      <c r="M200">
        <v>29.11</v>
      </c>
      <c r="N200">
        <f t="shared" si="8"/>
        <v>333.99</v>
      </c>
      <c r="O200">
        <f t="shared" si="9"/>
        <v>0</v>
      </c>
    </row>
    <row r="201" spans="1:15" x14ac:dyDescent="0.25">
      <c r="A201" s="1" t="s">
        <v>199</v>
      </c>
      <c r="B201">
        <v>27.09</v>
      </c>
      <c r="C201">
        <v>27.58</v>
      </c>
      <c r="D201">
        <v>28.5</v>
      </c>
      <c r="E201">
        <v>26.8</v>
      </c>
      <c r="F201">
        <v>27.05</v>
      </c>
      <c r="G201">
        <v>27.29</v>
      </c>
      <c r="H201">
        <v>21.96</v>
      </c>
      <c r="I201">
        <v>22.01</v>
      </c>
      <c r="J201">
        <v>22.06</v>
      </c>
      <c r="K201">
        <v>26</v>
      </c>
      <c r="L201">
        <v>26.1</v>
      </c>
      <c r="M201">
        <v>26.19</v>
      </c>
      <c r="N201">
        <f t="shared" si="8"/>
        <v>308.63000000000005</v>
      </c>
      <c r="O201">
        <f t="shared" si="9"/>
        <v>0</v>
      </c>
    </row>
    <row r="202" spans="1:15" x14ac:dyDescent="0.25">
      <c r="A202" s="1" t="s">
        <v>200</v>
      </c>
      <c r="B202">
        <v>25.71</v>
      </c>
      <c r="C202">
        <v>26.17</v>
      </c>
      <c r="D202">
        <v>27.04</v>
      </c>
      <c r="E202">
        <v>24.73</v>
      </c>
      <c r="F202">
        <v>24.95</v>
      </c>
      <c r="G202">
        <v>25.18</v>
      </c>
      <c r="H202">
        <v>20.079999999999998</v>
      </c>
      <c r="I202">
        <v>20.13</v>
      </c>
      <c r="J202">
        <v>20.18</v>
      </c>
      <c r="K202">
        <v>24.95</v>
      </c>
      <c r="L202">
        <v>25.04</v>
      </c>
      <c r="M202">
        <v>25.13</v>
      </c>
      <c r="N202">
        <f t="shared" si="8"/>
        <v>289.29000000000002</v>
      </c>
      <c r="O202">
        <f t="shared" si="9"/>
        <v>0</v>
      </c>
    </row>
    <row r="203" spans="1:15" x14ac:dyDescent="0.25">
      <c r="A203" s="1" t="s">
        <v>201</v>
      </c>
      <c r="B203">
        <v>24.79</v>
      </c>
      <c r="C203">
        <v>25.24</v>
      </c>
      <c r="D203">
        <v>26.08</v>
      </c>
      <c r="E203">
        <v>23.37</v>
      </c>
      <c r="F203">
        <v>23.59</v>
      </c>
      <c r="G203">
        <v>23.8</v>
      </c>
      <c r="H203">
        <v>19.09</v>
      </c>
      <c r="I203">
        <v>19.13</v>
      </c>
      <c r="J203">
        <v>19.18</v>
      </c>
      <c r="K203">
        <v>25.04</v>
      </c>
      <c r="L203">
        <v>25.14</v>
      </c>
      <c r="M203">
        <v>25.23</v>
      </c>
      <c r="N203">
        <f t="shared" si="8"/>
        <v>279.68</v>
      </c>
      <c r="O203">
        <f t="shared" si="9"/>
        <v>0</v>
      </c>
    </row>
    <row r="204" spans="1:15" x14ac:dyDescent="0.25">
      <c r="A204" s="1" t="s">
        <v>202</v>
      </c>
      <c r="B204">
        <v>25.22</v>
      </c>
      <c r="C204">
        <v>25.68</v>
      </c>
      <c r="D204">
        <v>26.54</v>
      </c>
      <c r="E204">
        <v>23.63</v>
      </c>
      <c r="F204">
        <v>23.85</v>
      </c>
      <c r="G204">
        <v>24.07</v>
      </c>
      <c r="H204">
        <v>19.48</v>
      </c>
      <c r="I204">
        <v>19.53</v>
      </c>
      <c r="J204">
        <v>19.579999999999998</v>
      </c>
      <c r="K204">
        <v>26.41</v>
      </c>
      <c r="L204">
        <v>26.5</v>
      </c>
      <c r="M204">
        <v>26.6</v>
      </c>
      <c r="N204">
        <f t="shared" si="8"/>
        <v>287.09000000000003</v>
      </c>
      <c r="O204">
        <f t="shared" si="9"/>
        <v>0</v>
      </c>
    </row>
    <row r="205" spans="1:15" x14ac:dyDescent="0.25">
      <c r="A205" s="1" t="s">
        <v>203</v>
      </c>
      <c r="B205">
        <v>25.38</v>
      </c>
      <c r="C205">
        <v>25.84</v>
      </c>
      <c r="D205">
        <v>26.7</v>
      </c>
      <c r="E205">
        <v>23.64</v>
      </c>
      <c r="F205">
        <v>23.85</v>
      </c>
      <c r="G205">
        <v>24.07</v>
      </c>
      <c r="H205">
        <v>19.59</v>
      </c>
      <c r="I205">
        <v>19.64</v>
      </c>
      <c r="J205">
        <v>19.690000000000001</v>
      </c>
      <c r="K205">
        <v>26.77</v>
      </c>
      <c r="L205">
        <v>26.88</v>
      </c>
      <c r="M205">
        <v>26.98</v>
      </c>
      <c r="N205">
        <f t="shared" si="8"/>
        <v>289.03000000000003</v>
      </c>
      <c r="O205">
        <f t="shared" si="9"/>
        <v>0</v>
      </c>
    </row>
    <row r="206" spans="1:15" x14ac:dyDescent="0.25">
      <c r="A206" s="1" t="s">
        <v>204</v>
      </c>
      <c r="B206">
        <v>24.09</v>
      </c>
      <c r="C206">
        <v>24.52</v>
      </c>
      <c r="D206">
        <v>25.34</v>
      </c>
      <c r="E206">
        <v>22.69</v>
      </c>
      <c r="F206">
        <v>22.9</v>
      </c>
      <c r="G206">
        <v>23.11</v>
      </c>
      <c r="H206">
        <v>18.71</v>
      </c>
      <c r="I206">
        <v>18.75</v>
      </c>
      <c r="J206">
        <v>18.8</v>
      </c>
      <c r="K206">
        <v>25.49</v>
      </c>
      <c r="L206">
        <v>25.59</v>
      </c>
      <c r="M206">
        <v>25.68</v>
      </c>
      <c r="N206">
        <f t="shared" si="8"/>
        <v>275.67</v>
      </c>
      <c r="O206">
        <f t="shared" si="9"/>
        <v>0</v>
      </c>
    </row>
    <row r="207" spans="1:15" x14ac:dyDescent="0.25">
      <c r="A207" s="1" t="s">
        <v>205</v>
      </c>
      <c r="B207">
        <v>23.59</v>
      </c>
      <c r="C207">
        <v>24.02</v>
      </c>
      <c r="D207">
        <v>24.82</v>
      </c>
      <c r="E207">
        <v>22.45</v>
      </c>
      <c r="F207">
        <v>22.65</v>
      </c>
      <c r="G207">
        <v>22.86</v>
      </c>
      <c r="H207">
        <v>18.34</v>
      </c>
      <c r="I207">
        <v>18.39</v>
      </c>
      <c r="J207">
        <v>18.43</v>
      </c>
      <c r="K207">
        <v>25.39</v>
      </c>
      <c r="L207">
        <v>25.48</v>
      </c>
      <c r="M207">
        <v>25.58</v>
      </c>
      <c r="N207">
        <f t="shared" si="8"/>
        <v>272</v>
      </c>
      <c r="O207">
        <f t="shared" si="9"/>
        <v>0</v>
      </c>
    </row>
    <row r="208" spans="1:15" x14ac:dyDescent="0.25">
      <c r="A208" s="1" t="s">
        <v>206</v>
      </c>
      <c r="B208">
        <v>23.07</v>
      </c>
      <c r="C208">
        <v>23.49</v>
      </c>
      <c r="D208">
        <v>24.28</v>
      </c>
      <c r="E208">
        <v>22</v>
      </c>
      <c r="F208">
        <v>22.2</v>
      </c>
      <c r="G208">
        <v>22.41</v>
      </c>
      <c r="H208">
        <v>17.84</v>
      </c>
      <c r="I208">
        <v>17.88</v>
      </c>
      <c r="J208">
        <v>17.93</v>
      </c>
      <c r="K208">
        <v>24.91</v>
      </c>
      <c r="L208">
        <v>25.01</v>
      </c>
      <c r="M208">
        <v>25.1</v>
      </c>
      <c r="N208">
        <f t="shared" si="8"/>
        <v>266.12</v>
      </c>
      <c r="O208">
        <f t="shared" si="9"/>
        <v>0</v>
      </c>
    </row>
    <row r="209" spans="1:15" x14ac:dyDescent="0.25">
      <c r="A209" s="1" t="s">
        <v>207</v>
      </c>
      <c r="B209">
        <v>22.24</v>
      </c>
      <c r="C209">
        <v>22.64</v>
      </c>
      <c r="D209">
        <v>23.4</v>
      </c>
      <c r="E209">
        <v>20.99</v>
      </c>
      <c r="F209">
        <v>21.18</v>
      </c>
      <c r="G209">
        <v>21.38</v>
      </c>
      <c r="H209">
        <v>17.350000000000001</v>
      </c>
      <c r="I209">
        <v>17.39</v>
      </c>
      <c r="J209">
        <v>17.43</v>
      </c>
      <c r="K209">
        <v>22.48</v>
      </c>
      <c r="L209">
        <v>22.57</v>
      </c>
      <c r="M209">
        <v>22.65</v>
      </c>
      <c r="N209">
        <f t="shared" si="8"/>
        <v>251.7</v>
      </c>
      <c r="O209">
        <f t="shared" si="9"/>
        <v>0</v>
      </c>
    </row>
    <row r="210" spans="1:15" x14ac:dyDescent="0.25">
      <c r="A210" s="1" t="s">
        <v>208</v>
      </c>
      <c r="B210">
        <v>22.53</v>
      </c>
      <c r="C210">
        <v>22.94</v>
      </c>
      <c r="D210">
        <v>23.7</v>
      </c>
      <c r="E210">
        <v>21.52</v>
      </c>
      <c r="F210">
        <v>21.72</v>
      </c>
      <c r="G210">
        <v>21.92</v>
      </c>
      <c r="H210">
        <v>17.77</v>
      </c>
      <c r="I210">
        <v>17.82</v>
      </c>
      <c r="J210">
        <v>17.86</v>
      </c>
      <c r="K210">
        <v>22.48</v>
      </c>
      <c r="L210">
        <v>22.57</v>
      </c>
      <c r="M210">
        <v>22.65</v>
      </c>
      <c r="N210">
        <f t="shared" si="8"/>
        <v>255.47999999999996</v>
      </c>
      <c r="O210">
        <f t="shared" si="9"/>
        <v>0</v>
      </c>
    </row>
    <row r="211" spans="1:15" x14ac:dyDescent="0.25">
      <c r="A211" s="1" t="s">
        <v>209</v>
      </c>
      <c r="B211">
        <v>23.68</v>
      </c>
      <c r="C211">
        <v>24.11</v>
      </c>
      <c r="D211">
        <v>24.91</v>
      </c>
      <c r="E211">
        <v>22.17</v>
      </c>
      <c r="F211">
        <v>22.37</v>
      </c>
      <c r="G211">
        <v>22.58</v>
      </c>
      <c r="H211">
        <v>18.13</v>
      </c>
      <c r="I211">
        <v>18.18</v>
      </c>
      <c r="J211">
        <v>18.22</v>
      </c>
      <c r="K211">
        <v>23.7</v>
      </c>
      <c r="L211">
        <v>23.79</v>
      </c>
      <c r="M211">
        <v>23.88</v>
      </c>
      <c r="N211">
        <f t="shared" si="8"/>
        <v>265.71999999999997</v>
      </c>
      <c r="O211">
        <f t="shared" si="9"/>
        <v>0</v>
      </c>
    </row>
    <row r="212" spans="1:15" x14ac:dyDescent="0.25">
      <c r="A212" s="1" t="s">
        <v>210</v>
      </c>
      <c r="B212">
        <v>24.22</v>
      </c>
      <c r="C212">
        <v>24.66</v>
      </c>
      <c r="D212">
        <v>25.49</v>
      </c>
      <c r="E212">
        <v>23.16</v>
      </c>
      <c r="F212">
        <v>23.37</v>
      </c>
      <c r="G212">
        <v>23.59</v>
      </c>
      <c r="H212">
        <v>18.940000000000001</v>
      </c>
      <c r="I212">
        <v>18.989999999999998</v>
      </c>
      <c r="J212">
        <v>19.03</v>
      </c>
      <c r="K212">
        <v>24.66</v>
      </c>
      <c r="L212">
        <v>24.75</v>
      </c>
      <c r="M212">
        <v>24.85</v>
      </c>
      <c r="N212">
        <f t="shared" si="8"/>
        <v>275.70999999999998</v>
      </c>
      <c r="O212">
        <f t="shared" si="9"/>
        <v>0</v>
      </c>
    </row>
    <row r="213" spans="1:15" x14ac:dyDescent="0.25">
      <c r="A213" s="1" t="s">
        <v>211</v>
      </c>
      <c r="B213">
        <v>24.82</v>
      </c>
      <c r="C213">
        <v>25.27</v>
      </c>
      <c r="D213">
        <v>26.11</v>
      </c>
      <c r="E213">
        <v>23.77</v>
      </c>
      <c r="F213">
        <v>23.99</v>
      </c>
      <c r="G213">
        <v>24.22</v>
      </c>
      <c r="H213">
        <v>19.649999999999999</v>
      </c>
      <c r="I213">
        <v>19.7</v>
      </c>
      <c r="J213">
        <v>19.75</v>
      </c>
      <c r="K213">
        <v>25.98</v>
      </c>
      <c r="L213">
        <v>26.09</v>
      </c>
      <c r="M213">
        <v>26.19</v>
      </c>
      <c r="N213">
        <f t="shared" si="8"/>
        <v>285.53999999999996</v>
      </c>
      <c r="O213">
        <f t="shared" si="9"/>
        <v>0</v>
      </c>
    </row>
    <row r="214" spans="1:15" x14ac:dyDescent="0.25">
      <c r="A214" s="1" t="s">
        <v>212</v>
      </c>
      <c r="B214">
        <v>25.05</v>
      </c>
      <c r="C214">
        <v>25.5</v>
      </c>
      <c r="D214">
        <v>26.36</v>
      </c>
      <c r="E214">
        <v>24</v>
      </c>
      <c r="F214">
        <v>24.23</v>
      </c>
      <c r="G214">
        <v>24.45</v>
      </c>
      <c r="H214">
        <v>19.87</v>
      </c>
      <c r="I214">
        <v>19.920000000000002</v>
      </c>
      <c r="J214">
        <v>19.97</v>
      </c>
      <c r="K214">
        <v>26.01</v>
      </c>
      <c r="L214">
        <v>26.11</v>
      </c>
      <c r="M214">
        <v>26.22</v>
      </c>
      <c r="N214">
        <f t="shared" si="8"/>
        <v>287.68999999999994</v>
      </c>
      <c r="O214">
        <f t="shared" si="9"/>
        <v>0</v>
      </c>
    </row>
    <row r="215" spans="1:15" x14ac:dyDescent="0.25">
      <c r="A215" s="1" t="s">
        <v>213</v>
      </c>
      <c r="B215">
        <v>26.31</v>
      </c>
      <c r="C215">
        <v>26.8</v>
      </c>
      <c r="D215">
        <v>27.69</v>
      </c>
      <c r="E215">
        <v>25.46</v>
      </c>
      <c r="F215">
        <v>25.69</v>
      </c>
      <c r="G215">
        <v>25.93</v>
      </c>
      <c r="H215">
        <v>21.15</v>
      </c>
      <c r="I215">
        <v>21.2</v>
      </c>
      <c r="J215">
        <v>21.26</v>
      </c>
      <c r="K215">
        <v>28.23</v>
      </c>
      <c r="L215">
        <v>28.34</v>
      </c>
      <c r="M215">
        <v>28.45</v>
      </c>
      <c r="N215">
        <f t="shared" si="8"/>
        <v>306.50999999999993</v>
      </c>
      <c r="O215">
        <f t="shared" si="9"/>
        <v>0</v>
      </c>
    </row>
    <row r="216" spans="1:15" x14ac:dyDescent="0.25">
      <c r="A216" s="1" t="s">
        <v>214</v>
      </c>
      <c r="B216">
        <v>25.61</v>
      </c>
      <c r="C216">
        <v>26.08</v>
      </c>
      <c r="D216">
        <v>26.96</v>
      </c>
      <c r="E216">
        <v>24.19</v>
      </c>
      <c r="F216">
        <v>24.42</v>
      </c>
      <c r="G216">
        <v>24.64</v>
      </c>
      <c r="H216">
        <v>20.04</v>
      </c>
      <c r="I216">
        <v>20.09</v>
      </c>
      <c r="J216">
        <v>20.14</v>
      </c>
      <c r="K216">
        <v>26.84</v>
      </c>
      <c r="L216">
        <v>26.95</v>
      </c>
      <c r="M216">
        <v>27.06</v>
      </c>
      <c r="N216">
        <f t="shared" si="8"/>
        <v>293.02000000000004</v>
      </c>
      <c r="O216">
        <f t="shared" si="9"/>
        <v>0</v>
      </c>
    </row>
    <row r="217" spans="1:15" x14ac:dyDescent="0.25">
      <c r="A217" s="1" t="s">
        <v>215</v>
      </c>
      <c r="B217">
        <v>24.83</v>
      </c>
      <c r="C217">
        <v>25.28</v>
      </c>
      <c r="D217">
        <v>26.13</v>
      </c>
      <c r="E217">
        <v>23.28</v>
      </c>
      <c r="F217">
        <v>23.5</v>
      </c>
      <c r="G217">
        <v>23.72</v>
      </c>
      <c r="H217">
        <v>19.440000000000001</v>
      </c>
      <c r="I217">
        <v>19.489999999999998</v>
      </c>
      <c r="J217">
        <v>19.54</v>
      </c>
      <c r="K217">
        <v>24.99</v>
      </c>
      <c r="L217">
        <v>25.09</v>
      </c>
      <c r="M217">
        <v>25.19</v>
      </c>
      <c r="N217">
        <f t="shared" si="8"/>
        <v>280.48</v>
      </c>
      <c r="O217">
        <f t="shared" si="9"/>
        <v>0</v>
      </c>
    </row>
    <row r="218" spans="1:15" x14ac:dyDescent="0.25">
      <c r="A218" s="1" t="s">
        <v>216</v>
      </c>
      <c r="B218">
        <v>25.21</v>
      </c>
      <c r="C218">
        <v>25.68</v>
      </c>
      <c r="D218">
        <v>26.54</v>
      </c>
      <c r="E218">
        <v>23.71</v>
      </c>
      <c r="F218">
        <v>23.93</v>
      </c>
      <c r="G218">
        <v>24.15</v>
      </c>
      <c r="H218">
        <v>19.7</v>
      </c>
      <c r="I218">
        <v>19.75</v>
      </c>
      <c r="J218">
        <v>19.8</v>
      </c>
      <c r="K218">
        <v>26.01</v>
      </c>
      <c r="L218">
        <v>26.12</v>
      </c>
      <c r="M218">
        <v>26.22</v>
      </c>
      <c r="N218">
        <f t="shared" si="8"/>
        <v>286.82000000000005</v>
      </c>
      <c r="O218">
        <f t="shared" si="9"/>
        <v>0</v>
      </c>
    </row>
    <row r="219" spans="1:15" x14ac:dyDescent="0.25">
      <c r="A219" s="1" t="s">
        <v>217</v>
      </c>
      <c r="B219">
        <v>25.28</v>
      </c>
      <c r="C219">
        <v>25.75</v>
      </c>
      <c r="D219">
        <v>26.61</v>
      </c>
      <c r="E219">
        <v>23.46</v>
      </c>
      <c r="F219">
        <v>23.68</v>
      </c>
      <c r="G219">
        <v>23.9</v>
      </c>
      <c r="H219">
        <v>19.53</v>
      </c>
      <c r="I219">
        <v>19.579999999999998</v>
      </c>
      <c r="J219">
        <v>19.63</v>
      </c>
      <c r="K219">
        <v>26.58</v>
      </c>
      <c r="L219">
        <v>26.69</v>
      </c>
      <c r="M219">
        <v>26.8</v>
      </c>
      <c r="N219">
        <f t="shared" si="8"/>
        <v>287.49</v>
      </c>
      <c r="O219">
        <f t="shared" si="9"/>
        <v>0</v>
      </c>
    </row>
    <row r="220" spans="1:15" x14ac:dyDescent="0.25">
      <c r="A220" s="1" t="s">
        <v>218</v>
      </c>
      <c r="B220">
        <v>24.23</v>
      </c>
      <c r="C220">
        <v>24.68</v>
      </c>
      <c r="D220">
        <v>25.51</v>
      </c>
      <c r="E220">
        <v>21.59</v>
      </c>
      <c r="F220">
        <v>21.79</v>
      </c>
      <c r="G220">
        <v>22</v>
      </c>
      <c r="H220">
        <v>18.350000000000001</v>
      </c>
      <c r="I220">
        <v>18.399999999999999</v>
      </c>
      <c r="J220">
        <v>18.440000000000001</v>
      </c>
      <c r="K220">
        <v>24.26</v>
      </c>
      <c r="L220">
        <v>24.35</v>
      </c>
      <c r="M220">
        <v>24.45</v>
      </c>
      <c r="N220">
        <f t="shared" si="8"/>
        <v>268.05</v>
      </c>
      <c r="O220">
        <f t="shared" si="9"/>
        <v>0</v>
      </c>
    </row>
    <row r="221" spans="1:15" x14ac:dyDescent="0.25">
      <c r="A221" s="1" t="s">
        <v>219</v>
      </c>
      <c r="B221">
        <v>23.23</v>
      </c>
      <c r="C221">
        <v>23.66</v>
      </c>
      <c r="D221">
        <v>24.46</v>
      </c>
      <c r="E221">
        <v>20.93</v>
      </c>
      <c r="F221">
        <v>21.13</v>
      </c>
      <c r="G221">
        <v>21.33</v>
      </c>
      <c r="H221">
        <v>17.850000000000001</v>
      </c>
      <c r="I221">
        <v>17.899999999999999</v>
      </c>
      <c r="J221">
        <v>17.95</v>
      </c>
      <c r="K221">
        <v>24.49</v>
      </c>
      <c r="L221">
        <v>24.59</v>
      </c>
      <c r="M221">
        <v>24.69</v>
      </c>
      <c r="N221">
        <f t="shared" si="8"/>
        <v>262.21000000000004</v>
      </c>
      <c r="O221">
        <f t="shared" si="9"/>
        <v>0</v>
      </c>
    </row>
    <row r="222" spans="1:15" x14ac:dyDescent="0.25">
      <c r="A222" s="1" t="s">
        <v>220</v>
      </c>
      <c r="B222">
        <v>23.54</v>
      </c>
      <c r="C222">
        <v>23.98</v>
      </c>
      <c r="D222">
        <v>24.78</v>
      </c>
      <c r="E222">
        <v>21.25</v>
      </c>
      <c r="F222">
        <v>21.45</v>
      </c>
      <c r="G222">
        <v>21.65</v>
      </c>
      <c r="H222">
        <v>18.18</v>
      </c>
      <c r="I222">
        <v>18.22</v>
      </c>
      <c r="J222">
        <v>18.27</v>
      </c>
      <c r="K222">
        <v>24.12</v>
      </c>
      <c r="L222">
        <v>24.21</v>
      </c>
      <c r="M222">
        <v>24.31</v>
      </c>
      <c r="N222">
        <f t="shared" si="8"/>
        <v>263.96000000000004</v>
      </c>
      <c r="O222">
        <f t="shared" si="9"/>
        <v>0</v>
      </c>
    </row>
    <row r="223" spans="1:15" x14ac:dyDescent="0.25">
      <c r="A223" s="1" t="s">
        <v>221</v>
      </c>
      <c r="B223">
        <v>22.82</v>
      </c>
      <c r="C223">
        <v>23.25</v>
      </c>
      <c r="D223">
        <v>24.03</v>
      </c>
      <c r="E223">
        <v>20.78</v>
      </c>
      <c r="F223">
        <v>20.97</v>
      </c>
      <c r="G223">
        <v>21.17</v>
      </c>
      <c r="H223">
        <v>17.510000000000002</v>
      </c>
      <c r="I223">
        <v>17.559999999999999</v>
      </c>
      <c r="J223">
        <v>17.61</v>
      </c>
      <c r="K223">
        <v>23.76</v>
      </c>
      <c r="L223">
        <v>23.86</v>
      </c>
      <c r="M223">
        <v>23.96</v>
      </c>
      <c r="N223">
        <f t="shared" si="8"/>
        <v>257.27999999999997</v>
      </c>
      <c r="O223">
        <f t="shared" si="9"/>
        <v>0</v>
      </c>
    </row>
    <row r="224" spans="1:15" x14ac:dyDescent="0.25">
      <c r="A224" s="1" t="s">
        <v>222</v>
      </c>
      <c r="B224">
        <v>22.32</v>
      </c>
      <c r="C224">
        <v>22.73</v>
      </c>
      <c r="D224">
        <v>23.49</v>
      </c>
      <c r="E224">
        <v>20.6</v>
      </c>
      <c r="F224">
        <v>20.79</v>
      </c>
      <c r="G224">
        <v>20.99</v>
      </c>
      <c r="H224">
        <v>17.489999999999998</v>
      </c>
      <c r="I224">
        <v>17.53</v>
      </c>
      <c r="J224">
        <v>17.579999999999998</v>
      </c>
      <c r="K224">
        <v>23.86</v>
      </c>
      <c r="L224">
        <v>23.96</v>
      </c>
      <c r="M224">
        <v>24.05</v>
      </c>
      <c r="N224">
        <f t="shared" si="8"/>
        <v>255.39000000000001</v>
      </c>
      <c r="O224">
        <f t="shared" si="9"/>
        <v>0</v>
      </c>
    </row>
    <row r="225" spans="1:15" x14ac:dyDescent="0.25">
      <c r="A225" s="1" t="s">
        <v>223</v>
      </c>
      <c r="B225">
        <v>21.88</v>
      </c>
      <c r="C225">
        <v>22.29</v>
      </c>
      <c r="D225">
        <v>23.04</v>
      </c>
      <c r="E225">
        <v>19.579999999999998</v>
      </c>
      <c r="F225">
        <v>19.77</v>
      </c>
      <c r="G225">
        <v>19.96</v>
      </c>
      <c r="H225">
        <v>16.64</v>
      </c>
      <c r="I225">
        <v>16.690000000000001</v>
      </c>
      <c r="J225">
        <v>16.73</v>
      </c>
      <c r="K225">
        <v>22.15</v>
      </c>
      <c r="L225">
        <v>22.24</v>
      </c>
      <c r="M225">
        <v>22.34</v>
      </c>
      <c r="N225">
        <f t="shared" si="8"/>
        <v>243.31000000000003</v>
      </c>
      <c r="O225">
        <f t="shared" si="9"/>
        <v>0</v>
      </c>
    </row>
    <row r="226" spans="1:15" x14ac:dyDescent="0.25">
      <c r="A226" s="1" t="s">
        <v>224</v>
      </c>
      <c r="B226">
        <v>20.82</v>
      </c>
      <c r="C226">
        <v>21.21</v>
      </c>
      <c r="D226">
        <v>21.92</v>
      </c>
      <c r="E226">
        <v>18.760000000000002</v>
      </c>
      <c r="F226">
        <v>18.940000000000001</v>
      </c>
      <c r="G226">
        <v>19.12</v>
      </c>
      <c r="H226">
        <v>16.04</v>
      </c>
      <c r="I226">
        <v>16.079999999999998</v>
      </c>
      <c r="J226">
        <v>16.12</v>
      </c>
      <c r="K226">
        <v>20.62</v>
      </c>
      <c r="L226">
        <v>20.71</v>
      </c>
      <c r="M226">
        <v>20.8</v>
      </c>
      <c r="N226">
        <f t="shared" si="8"/>
        <v>231.14000000000001</v>
      </c>
      <c r="O226">
        <f t="shared" si="9"/>
        <v>0</v>
      </c>
    </row>
    <row r="227" spans="1:15" x14ac:dyDescent="0.25">
      <c r="A227" s="1" t="s">
        <v>225</v>
      </c>
      <c r="B227">
        <v>21.17</v>
      </c>
      <c r="C227">
        <v>21.57</v>
      </c>
      <c r="D227">
        <v>22.29</v>
      </c>
      <c r="E227">
        <v>18.97</v>
      </c>
      <c r="F227">
        <v>19.149999999999999</v>
      </c>
      <c r="G227">
        <v>19.329999999999998</v>
      </c>
      <c r="H227">
        <v>16.309999999999999</v>
      </c>
      <c r="I227">
        <v>16.350000000000001</v>
      </c>
      <c r="J227">
        <v>16.39</v>
      </c>
      <c r="K227">
        <v>20.329999999999998</v>
      </c>
      <c r="L227">
        <v>20.41</v>
      </c>
      <c r="M227">
        <v>20.5</v>
      </c>
      <c r="N227">
        <f t="shared" si="8"/>
        <v>232.76999999999995</v>
      </c>
      <c r="O227">
        <f t="shared" si="9"/>
        <v>0</v>
      </c>
    </row>
    <row r="228" spans="1:15" x14ac:dyDescent="0.25">
      <c r="A228" s="1" t="s">
        <v>226</v>
      </c>
      <c r="B228">
        <v>22.57</v>
      </c>
      <c r="C228">
        <v>22.99</v>
      </c>
      <c r="D228">
        <v>23.77</v>
      </c>
      <c r="E228">
        <v>21.12</v>
      </c>
      <c r="F228">
        <v>21.32</v>
      </c>
      <c r="G228">
        <v>21.53</v>
      </c>
      <c r="H228">
        <v>18.12</v>
      </c>
      <c r="I228">
        <v>18.170000000000002</v>
      </c>
      <c r="J228">
        <v>18.21</v>
      </c>
      <c r="K228">
        <v>22.54</v>
      </c>
      <c r="L228">
        <v>22.64</v>
      </c>
      <c r="M228">
        <v>22.74</v>
      </c>
      <c r="N228">
        <f t="shared" si="8"/>
        <v>255.72000000000003</v>
      </c>
      <c r="O228">
        <f t="shared" si="9"/>
        <v>0</v>
      </c>
    </row>
    <row r="229" spans="1:15" x14ac:dyDescent="0.25">
      <c r="A229" s="1" t="s">
        <v>227</v>
      </c>
      <c r="B229">
        <v>22.78</v>
      </c>
      <c r="C229">
        <v>23.21</v>
      </c>
      <c r="D229">
        <v>23.99</v>
      </c>
      <c r="E229">
        <v>21.58</v>
      </c>
      <c r="F229">
        <v>21.79</v>
      </c>
      <c r="G229">
        <v>22</v>
      </c>
      <c r="H229">
        <v>18.2</v>
      </c>
      <c r="I229">
        <v>18.239999999999998</v>
      </c>
      <c r="J229">
        <v>18.29</v>
      </c>
      <c r="K229">
        <v>23.11</v>
      </c>
      <c r="L229">
        <v>23.21</v>
      </c>
      <c r="M229">
        <v>23.31</v>
      </c>
      <c r="N229">
        <f t="shared" si="8"/>
        <v>259.70999999999998</v>
      </c>
      <c r="O229">
        <f t="shared" si="9"/>
        <v>0</v>
      </c>
    </row>
    <row r="230" spans="1:15" x14ac:dyDescent="0.25">
      <c r="A230" s="1" t="s">
        <v>228</v>
      </c>
      <c r="B230">
        <v>22.81</v>
      </c>
      <c r="C230">
        <v>23.23</v>
      </c>
      <c r="D230">
        <v>24.02</v>
      </c>
      <c r="E230">
        <v>21.23</v>
      </c>
      <c r="F230">
        <v>21.44</v>
      </c>
      <c r="G230">
        <v>21.64</v>
      </c>
      <c r="H230">
        <v>17.93</v>
      </c>
      <c r="I230">
        <v>17.98</v>
      </c>
      <c r="J230">
        <v>18.03</v>
      </c>
      <c r="K230">
        <v>23.49</v>
      </c>
      <c r="L230">
        <v>23.59</v>
      </c>
      <c r="M230">
        <v>23.69</v>
      </c>
      <c r="N230">
        <f t="shared" si="8"/>
        <v>259.08000000000004</v>
      </c>
      <c r="O230">
        <f t="shared" si="9"/>
        <v>0</v>
      </c>
    </row>
    <row r="231" spans="1:15" x14ac:dyDescent="0.25">
      <c r="A231" s="1" t="s">
        <v>229</v>
      </c>
      <c r="B231">
        <v>23.21</v>
      </c>
      <c r="C231">
        <v>23.64</v>
      </c>
      <c r="D231">
        <v>24.44</v>
      </c>
      <c r="E231">
        <v>22.03</v>
      </c>
      <c r="F231">
        <v>22.24</v>
      </c>
      <c r="G231">
        <v>22.45</v>
      </c>
      <c r="H231">
        <v>18.45</v>
      </c>
      <c r="I231">
        <v>18.5</v>
      </c>
      <c r="J231">
        <v>18.55</v>
      </c>
      <c r="K231">
        <v>24.2</v>
      </c>
      <c r="L231">
        <v>24.31</v>
      </c>
      <c r="M231">
        <v>24.41</v>
      </c>
      <c r="N231">
        <f t="shared" si="8"/>
        <v>266.43</v>
      </c>
      <c r="O231">
        <f t="shared" si="9"/>
        <v>0</v>
      </c>
    </row>
    <row r="232" spans="1:15" x14ac:dyDescent="0.25">
      <c r="A232" s="1" t="s">
        <v>230</v>
      </c>
      <c r="B232">
        <v>23.12</v>
      </c>
      <c r="C232">
        <v>23.55</v>
      </c>
      <c r="D232">
        <v>24.35</v>
      </c>
      <c r="E232">
        <v>22.2</v>
      </c>
      <c r="F232">
        <v>22.42</v>
      </c>
      <c r="G232">
        <v>22.63</v>
      </c>
      <c r="H232">
        <v>18.489999999999998</v>
      </c>
      <c r="I232">
        <v>18.54</v>
      </c>
      <c r="J232">
        <v>18.59</v>
      </c>
      <c r="K232">
        <v>24.25</v>
      </c>
      <c r="L232">
        <v>24.35</v>
      </c>
      <c r="M232">
        <v>24.45</v>
      </c>
      <c r="N232">
        <f t="shared" si="8"/>
        <v>266.94</v>
      </c>
      <c r="O232">
        <f t="shared" si="9"/>
        <v>0</v>
      </c>
    </row>
    <row r="233" spans="1:15" x14ac:dyDescent="0.25">
      <c r="A233" s="1" t="s">
        <v>231</v>
      </c>
      <c r="B233">
        <v>22.23</v>
      </c>
      <c r="C233">
        <v>22.64</v>
      </c>
      <c r="D233">
        <v>23.41</v>
      </c>
      <c r="E233">
        <v>21.45</v>
      </c>
      <c r="F233">
        <v>21.66</v>
      </c>
      <c r="G233">
        <v>21.87</v>
      </c>
      <c r="H233">
        <v>17.91</v>
      </c>
      <c r="I233">
        <v>17.96</v>
      </c>
      <c r="J233">
        <v>18.010000000000002</v>
      </c>
      <c r="K233">
        <v>22.51</v>
      </c>
      <c r="L233">
        <v>22.61</v>
      </c>
      <c r="M233">
        <v>22.71</v>
      </c>
      <c r="N233">
        <f t="shared" si="8"/>
        <v>254.97</v>
      </c>
      <c r="O233">
        <f t="shared" si="9"/>
        <v>0</v>
      </c>
    </row>
    <row r="234" spans="1:15" x14ac:dyDescent="0.25">
      <c r="A234" s="1" t="s">
        <v>232</v>
      </c>
      <c r="B234">
        <v>22.35</v>
      </c>
      <c r="C234">
        <v>22.77</v>
      </c>
      <c r="D234">
        <v>23.54</v>
      </c>
      <c r="E234">
        <v>21.6</v>
      </c>
      <c r="F234">
        <v>21.81</v>
      </c>
      <c r="G234">
        <v>22.02</v>
      </c>
      <c r="H234">
        <v>18.010000000000002</v>
      </c>
      <c r="I234">
        <v>18.059999999999999</v>
      </c>
      <c r="J234">
        <v>18.11</v>
      </c>
      <c r="K234">
        <v>22.84</v>
      </c>
      <c r="L234">
        <v>22.94</v>
      </c>
      <c r="M234">
        <v>23.04</v>
      </c>
      <c r="N234">
        <f t="shared" si="8"/>
        <v>257.08999999999997</v>
      </c>
      <c r="O234">
        <f t="shared" si="9"/>
        <v>0</v>
      </c>
    </row>
    <row r="235" spans="1:15" x14ac:dyDescent="0.25">
      <c r="A235" s="1" t="s">
        <v>233</v>
      </c>
      <c r="B235">
        <v>22.27</v>
      </c>
      <c r="C235">
        <v>22.69</v>
      </c>
      <c r="D235">
        <v>23.46</v>
      </c>
      <c r="E235">
        <v>21.39</v>
      </c>
      <c r="F235">
        <v>21.6</v>
      </c>
      <c r="G235">
        <v>21.81</v>
      </c>
      <c r="H235">
        <v>17.899999999999999</v>
      </c>
      <c r="I235">
        <v>17.95</v>
      </c>
      <c r="J235">
        <v>18</v>
      </c>
      <c r="K235">
        <v>22.8</v>
      </c>
      <c r="L235">
        <v>22.9</v>
      </c>
      <c r="M235">
        <v>23</v>
      </c>
      <c r="N235">
        <f t="shared" si="8"/>
        <v>255.77</v>
      </c>
      <c r="O235">
        <f t="shared" si="9"/>
        <v>0</v>
      </c>
    </row>
    <row r="236" spans="1:15" x14ac:dyDescent="0.25">
      <c r="A236" s="1" t="s">
        <v>234</v>
      </c>
      <c r="B236">
        <v>22.7</v>
      </c>
      <c r="C236">
        <v>23.12</v>
      </c>
      <c r="D236">
        <v>23.91</v>
      </c>
      <c r="E236">
        <v>22.19</v>
      </c>
      <c r="F236">
        <v>22.41</v>
      </c>
      <c r="G236">
        <v>22.63</v>
      </c>
      <c r="H236">
        <v>18.510000000000002</v>
      </c>
      <c r="I236">
        <v>18.559999999999999</v>
      </c>
      <c r="J236">
        <v>18.61</v>
      </c>
      <c r="K236">
        <v>22.78</v>
      </c>
      <c r="L236">
        <v>22.88</v>
      </c>
      <c r="M236">
        <v>22.98</v>
      </c>
      <c r="N236">
        <f t="shared" si="8"/>
        <v>261.27999999999997</v>
      </c>
      <c r="O236">
        <f t="shared" si="9"/>
        <v>0</v>
      </c>
    </row>
    <row r="237" spans="1:15" x14ac:dyDescent="0.25">
      <c r="A237" s="1" t="s">
        <v>235</v>
      </c>
      <c r="B237">
        <v>22.14</v>
      </c>
      <c r="C237">
        <v>22.56</v>
      </c>
      <c r="D237">
        <v>23.32</v>
      </c>
      <c r="E237">
        <v>21.24</v>
      </c>
      <c r="F237">
        <v>21.45</v>
      </c>
      <c r="G237">
        <v>21.66</v>
      </c>
      <c r="H237">
        <v>17.86</v>
      </c>
      <c r="I237">
        <v>17.899999999999999</v>
      </c>
      <c r="J237">
        <v>17.95</v>
      </c>
      <c r="K237">
        <v>21.93</v>
      </c>
      <c r="L237">
        <v>22.03</v>
      </c>
      <c r="M237">
        <v>22.12</v>
      </c>
      <c r="N237">
        <f t="shared" si="8"/>
        <v>252.16000000000003</v>
      </c>
      <c r="O237">
        <f t="shared" si="9"/>
        <v>0</v>
      </c>
    </row>
    <row r="238" spans="1:15" x14ac:dyDescent="0.25">
      <c r="A238" s="1" t="s">
        <v>236</v>
      </c>
      <c r="B238">
        <v>22.68</v>
      </c>
      <c r="C238">
        <v>23.1</v>
      </c>
      <c r="D238">
        <v>23.89</v>
      </c>
      <c r="E238">
        <v>21.26</v>
      </c>
      <c r="F238">
        <v>21.47</v>
      </c>
      <c r="G238">
        <v>21.68</v>
      </c>
      <c r="H238">
        <v>17.829999999999998</v>
      </c>
      <c r="I238">
        <v>17.88</v>
      </c>
      <c r="J238">
        <v>17.93</v>
      </c>
      <c r="K238">
        <v>23.05</v>
      </c>
      <c r="L238">
        <v>23.15</v>
      </c>
      <c r="M238">
        <v>23.26</v>
      </c>
      <c r="N238">
        <f t="shared" si="8"/>
        <v>257.18000000000006</v>
      </c>
      <c r="O238">
        <f t="shared" si="9"/>
        <v>0</v>
      </c>
    </row>
    <row r="239" spans="1:15" x14ac:dyDescent="0.25">
      <c r="A239" s="1" t="s">
        <v>237</v>
      </c>
      <c r="B239">
        <v>23.17</v>
      </c>
      <c r="C239">
        <v>23.61</v>
      </c>
      <c r="D239">
        <v>24.41</v>
      </c>
      <c r="E239">
        <v>22.02</v>
      </c>
      <c r="F239">
        <v>22.23</v>
      </c>
      <c r="G239">
        <v>22.45</v>
      </c>
      <c r="H239">
        <v>18.37</v>
      </c>
      <c r="I239">
        <v>18.420000000000002</v>
      </c>
      <c r="J239">
        <v>18.47</v>
      </c>
      <c r="K239">
        <v>23.91</v>
      </c>
      <c r="L239">
        <v>24.01</v>
      </c>
      <c r="M239">
        <v>24.12</v>
      </c>
      <c r="N239">
        <f t="shared" si="8"/>
        <v>265.19</v>
      </c>
      <c r="O239">
        <f t="shared" si="9"/>
        <v>0</v>
      </c>
    </row>
    <row r="240" spans="1:15" x14ac:dyDescent="0.25">
      <c r="A240" s="1" t="s">
        <v>238</v>
      </c>
      <c r="B240">
        <v>23.28</v>
      </c>
      <c r="C240">
        <v>23.72</v>
      </c>
      <c r="D240">
        <v>24.52</v>
      </c>
      <c r="E240">
        <v>22.36</v>
      </c>
      <c r="F240">
        <v>22.58</v>
      </c>
      <c r="G240">
        <v>22.8</v>
      </c>
      <c r="H240">
        <v>18.62</v>
      </c>
      <c r="I240">
        <v>18.670000000000002</v>
      </c>
      <c r="J240">
        <v>18.72</v>
      </c>
      <c r="K240">
        <v>24.82</v>
      </c>
      <c r="L240">
        <v>24.93</v>
      </c>
      <c r="M240">
        <v>25.04</v>
      </c>
      <c r="N240">
        <f t="shared" si="8"/>
        <v>270.06</v>
      </c>
      <c r="O240">
        <f t="shared" si="9"/>
        <v>0</v>
      </c>
    </row>
    <row r="241" spans="1:15" x14ac:dyDescent="0.25">
      <c r="A241" s="1" t="s">
        <v>239</v>
      </c>
      <c r="B241">
        <v>23.21</v>
      </c>
      <c r="C241">
        <v>23.65</v>
      </c>
      <c r="D241">
        <v>24.46</v>
      </c>
      <c r="E241">
        <v>22.39</v>
      </c>
      <c r="F241">
        <v>22.61</v>
      </c>
      <c r="G241">
        <v>22.83</v>
      </c>
      <c r="H241">
        <v>18.690000000000001</v>
      </c>
      <c r="I241">
        <v>18.739999999999998</v>
      </c>
      <c r="J241">
        <v>18.79</v>
      </c>
      <c r="K241">
        <v>24.29</v>
      </c>
      <c r="L241">
        <v>24.4</v>
      </c>
      <c r="M241">
        <v>24.51</v>
      </c>
      <c r="N241">
        <f t="shared" si="8"/>
        <v>268.57</v>
      </c>
      <c r="O241">
        <f t="shared" si="9"/>
        <v>0</v>
      </c>
    </row>
    <row r="242" spans="1:15" x14ac:dyDescent="0.25">
      <c r="A242" s="1" t="s">
        <v>240</v>
      </c>
      <c r="B242">
        <v>22.69</v>
      </c>
      <c r="C242">
        <v>23.12</v>
      </c>
      <c r="D242">
        <v>23.9</v>
      </c>
      <c r="E242">
        <v>21.77</v>
      </c>
      <c r="F242">
        <v>21.99</v>
      </c>
      <c r="G242">
        <v>22.2</v>
      </c>
      <c r="H242">
        <v>18.37</v>
      </c>
      <c r="I242">
        <v>18.43</v>
      </c>
      <c r="J242">
        <v>18.48</v>
      </c>
      <c r="K242">
        <v>23.71</v>
      </c>
      <c r="L242">
        <v>23.81</v>
      </c>
      <c r="M242">
        <v>23.92</v>
      </c>
      <c r="N242">
        <f t="shared" si="8"/>
        <v>262.39</v>
      </c>
      <c r="O242">
        <f t="shared" si="9"/>
        <v>0</v>
      </c>
    </row>
    <row r="243" spans="1:15" x14ac:dyDescent="0.25">
      <c r="A243" s="1" t="s">
        <v>241</v>
      </c>
      <c r="B243">
        <v>22.95</v>
      </c>
      <c r="C243">
        <v>23.38</v>
      </c>
      <c r="D243">
        <v>24.18</v>
      </c>
      <c r="E243">
        <v>21.87</v>
      </c>
      <c r="F243">
        <v>22.09</v>
      </c>
      <c r="G243">
        <v>22.31</v>
      </c>
      <c r="H243">
        <v>18.53</v>
      </c>
      <c r="I243">
        <v>18.59</v>
      </c>
      <c r="J243">
        <v>18.64</v>
      </c>
      <c r="K243">
        <v>23.89</v>
      </c>
      <c r="L243">
        <v>23.99</v>
      </c>
      <c r="M243">
        <v>24.1</v>
      </c>
      <c r="N243">
        <f t="shared" si="8"/>
        <v>264.52000000000004</v>
      </c>
      <c r="O243">
        <f t="shared" si="9"/>
        <v>0</v>
      </c>
    </row>
    <row r="244" spans="1:15" x14ac:dyDescent="0.25">
      <c r="A244" s="1" t="s">
        <v>242</v>
      </c>
      <c r="B244">
        <v>23.28</v>
      </c>
      <c r="C244">
        <v>23.72</v>
      </c>
      <c r="D244">
        <v>24.53</v>
      </c>
      <c r="E244">
        <v>22.27</v>
      </c>
      <c r="F244">
        <v>22.49</v>
      </c>
      <c r="G244">
        <v>22.71</v>
      </c>
      <c r="H244">
        <v>18.91</v>
      </c>
      <c r="I244">
        <v>18.96</v>
      </c>
      <c r="J244">
        <v>19.010000000000002</v>
      </c>
      <c r="K244">
        <v>24.52</v>
      </c>
      <c r="L244">
        <v>24.64</v>
      </c>
      <c r="M244">
        <v>24.75</v>
      </c>
      <c r="N244">
        <f t="shared" si="8"/>
        <v>269.79000000000002</v>
      </c>
      <c r="O244">
        <f t="shared" si="9"/>
        <v>0</v>
      </c>
    </row>
    <row r="245" spans="1:15" x14ac:dyDescent="0.25">
      <c r="A245" s="1" t="s">
        <v>243</v>
      </c>
      <c r="B245">
        <v>23.22</v>
      </c>
      <c r="C245">
        <v>23.66</v>
      </c>
      <c r="D245">
        <v>24.47</v>
      </c>
      <c r="E245">
        <v>22.57</v>
      </c>
      <c r="F245">
        <v>22.79</v>
      </c>
      <c r="G245">
        <v>23.02</v>
      </c>
      <c r="H245">
        <v>19.059999999999999</v>
      </c>
      <c r="I245">
        <v>19.12</v>
      </c>
      <c r="J245">
        <v>19.170000000000002</v>
      </c>
      <c r="K245">
        <v>24.8</v>
      </c>
      <c r="L245">
        <v>24.91</v>
      </c>
      <c r="M245">
        <v>25.02</v>
      </c>
      <c r="N245">
        <f t="shared" si="8"/>
        <v>271.81</v>
      </c>
      <c r="O245">
        <f t="shared" si="9"/>
        <v>0</v>
      </c>
    </row>
    <row r="246" spans="1:15" x14ac:dyDescent="0.25">
      <c r="A246" s="1" t="s">
        <v>244</v>
      </c>
      <c r="B246">
        <v>22.98</v>
      </c>
      <c r="C246">
        <v>23.42</v>
      </c>
      <c r="D246">
        <v>24.21</v>
      </c>
      <c r="E246">
        <v>22.31</v>
      </c>
      <c r="F246">
        <v>22.53</v>
      </c>
      <c r="G246">
        <v>22.76</v>
      </c>
      <c r="H246">
        <v>18.88</v>
      </c>
      <c r="I246">
        <v>18.93</v>
      </c>
      <c r="J246">
        <v>18.98</v>
      </c>
      <c r="K246">
        <v>24.36</v>
      </c>
      <c r="L246">
        <v>24.47</v>
      </c>
      <c r="M246">
        <v>24.58</v>
      </c>
      <c r="N246">
        <f t="shared" si="8"/>
        <v>268.41000000000003</v>
      </c>
      <c r="O246">
        <f t="shared" si="9"/>
        <v>0</v>
      </c>
    </row>
    <row r="247" spans="1:15" x14ac:dyDescent="0.25">
      <c r="A247" s="1" t="s">
        <v>245</v>
      </c>
      <c r="B247">
        <v>22.83</v>
      </c>
      <c r="C247">
        <v>23.27</v>
      </c>
      <c r="D247">
        <v>24.06</v>
      </c>
      <c r="E247">
        <v>22.3</v>
      </c>
      <c r="F247">
        <v>22.52</v>
      </c>
      <c r="G247">
        <v>22.75</v>
      </c>
      <c r="H247">
        <v>18.670000000000002</v>
      </c>
      <c r="I247">
        <v>18.72</v>
      </c>
      <c r="J247">
        <v>18.77</v>
      </c>
      <c r="K247">
        <v>23.71</v>
      </c>
      <c r="L247">
        <v>23.82</v>
      </c>
      <c r="M247">
        <v>23.92</v>
      </c>
      <c r="N247">
        <f t="shared" si="8"/>
        <v>265.33999999999997</v>
      </c>
      <c r="O247">
        <f t="shared" si="9"/>
        <v>0</v>
      </c>
    </row>
    <row r="248" spans="1:15" x14ac:dyDescent="0.25">
      <c r="A248" s="1" t="s">
        <v>246</v>
      </c>
      <c r="B248">
        <v>22.62</v>
      </c>
      <c r="C248">
        <v>23.05</v>
      </c>
      <c r="D248">
        <v>23.84</v>
      </c>
      <c r="E248">
        <v>22.3</v>
      </c>
      <c r="F248">
        <v>22.52</v>
      </c>
      <c r="G248">
        <v>22.75</v>
      </c>
      <c r="H248">
        <v>18.690000000000001</v>
      </c>
      <c r="I248">
        <v>18.739999999999998</v>
      </c>
      <c r="J248">
        <v>18.79</v>
      </c>
      <c r="K248">
        <v>23</v>
      </c>
      <c r="L248">
        <v>23.11</v>
      </c>
      <c r="M248">
        <v>23.22</v>
      </c>
      <c r="N248">
        <f t="shared" si="8"/>
        <v>262.63</v>
      </c>
      <c r="O248">
        <f t="shared" si="9"/>
        <v>0</v>
      </c>
    </row>
    <row r="249" spans="1:15" x14ac:dyDescent="0.25">
      <c r="A249" s="1" t="s">
        <v>247</v>
      </c>
      <c r="B249">
        <v>22.7</v>
      </c>
      <c r="C249">
        <v>23.13</v>
      </c>
      <c r="D249">
        <v>23.92</v>
      </c>
      <c r="E249">
        <v>22.71</v>
      </c>
      <c r="F249">
        <v>22.94</v>
      </c>
      <c r="G249">
        <v>23.17</v>
      </c>
      <c r="H249">
        <v>18.899999999999999</v>
      </c>
      <c r="I249">
        <v>18.96</v>
      </c>
      <c r="J249">
        <v>19.010000000000002</v>
      </c>
      <c r="K249">
        <v>23.32</v>
      </c>
      <c r="L249">
        <v>23.43</v>
      </c>
      <c r="M249">
        <v>23.54</v>
      </c>
      <c r="N249">
        <f t="shared" si="8"/>
        <v>265.73</v>
      </c>
      <c r="O249">
        <f t="shared" si="9"/>
        <v>0</v>
      </c>
    </row>
    <row r="250" spans="1:15" x14ac:dyDescent="0.25">
      <c r="A250" s="1" t="s">
        <v>248</v>
      </c>
      <c r="B250">
        <v>22.84</v>
      </c>
      <c r="C250">
        <v>23.28</v>
      </c>
      <c r="D250">
        <v>24.08</v>
      </c>
      <c r="E250">
        <v>23.14</v>
      </c>
      <c r="F250">
        <v>23.37</v>
      </c>
      <c r="G250">
        <v>23.61</v>
      </c>
      <c r="H250">
        <v>19.13</v>
      </c>
      <c r="I250">
        <v>19.190000000000001</v>
      </c>
      <c r="J250">
        <v>19.239999999999998</v>
      </c>
      <c r="K250">
        <v>23.85</v>
      </c>
      <c r="L250">
        <v>23.96</v>
      </c>
      <c r="M250">
        <v>24.08</v>
      </c>
      <c r="N250">
        <f t="shared" si="8"/>
        <v>269.77</v>
      </c>
      <c r="O250">
        <f t="shared" si="9"/>
        <v>0</v>
      </c>
    </row>
    <row r="251" spans="1:15" x14ac:dyDescent="0.25">
      <c r="A251" s="1" t="s">
        <v>249</v>
      </c>
      <c r="B251">
        <v>22.94</v>
      </c>
      <c r="C251">
        <v>23.37</v>
      </c>
      <c r="D251">
        <v>24.18</v>
      </c>
      <c r="E251">
        <v>22.95</v>
      </c>
      <c r="F251">
        <v>23.18</v>
      </c>
      <c r="G251">
        <v>23.41</v>
      </c>
      <c r="H251">
        <v>19</v>
      </c>
      <c r="I251">
        <v>19.05</v>
      </c>
      <c r="J251">
        <v>19.11</v>
      </c>
      <c r="K251">
        <v>24.12</v>
      </c>
      <c r="L251">
        <v>24.23</v>
      </c>
      <c r="M251">
        <v>24.35</v>
      </c>
      <c r="N251">
        <f t="shared" si="8"/>
        <v>269.89</v>
      </c>
      <c r="O251">
        <f t="shared" si="9"/>
        <v>0</v>
      </c>
    </row>
    <row r="252" spans="1:15" x14ac:dyDescent="0.25">
      <c r="A252" s="1" t="s">
        <v>250</v>
      </c>
      <c r="B252">
        <v>23.08</v>
      </c>
      <c r="C252">
        <v>23.52</v>
      </c>
      <c r="D252">
        <v>24.33</v>
      </c>
      <c r="E252">
        <v>23.23</v>
      </c>
      <c r="F252">
        <v>23.46</v>
      </c>
      <c r="G252">
        <v>23.7</v>
      </c>
      <c r="H252">
        <v>19.190000000000001</v>
      </c>
      <c r="I252">
        <v>19.239999999999998</v>
      </c>
      <c r="J252">
        <v>19.3</v>
      </c>
      <c r="K252">
        <v>24.66</v>
      </c>
      <c r="L252">
        <v>24.77</v>
      </c>
      <c r="M252">
        <v>24.89</v>
      </c>
      <c r="N252">
        <f t="shared" si="8"/>
        <v>273.37</v>
      </c>
      <c r="O252">
        <f t="shared" si="9"/>
        <v>0</v>
      </c>
    </row>
    <row r="253" spans="1:15" x14ac:dyDescent="0.25">
      <c r="A253" s="2" t="s">
        <v>264</v>
      </c>
      <c r="B253" s="3">
        <f>ROUND(AVERAGE(B2:B252),2)</f>
        <v>36.54</v>
      </c>
      <c r="C253" s="3">
        <f t="shared" ref="C253:M253" si="10">ROUND(AVERAGE(C2:C252),2)</f>
        <v>37.14</v>
      </c>
      <c r="D253" s="3">
        <f t="shared" si="10"/>
        <v>38.299999999999997</v>
      </c>
      <c r="E253" s="3">
        <f t="shared" si="10"/>
        <v>39</v>
      </c>
      <c r="F253" s="3">
        <f t="shared" si="10"/>
        <v>39.28</v>
      </c>
      <c r="G253" s="3">
        <f t="shared" si="10"/>
        <v>39.56</v>
      </c>
      <c r="H253" s="3">
        <f t="shared" si="10"/>
        <v>33.4</v>
      </c>
      <c r="I253" s="3">
        <f t="shared" si="10"/>
        <v>33.44</v>
      </c>
      <c r="J253" s="3">
        <f t="shared" si="10"/>
        <v>33.49</v>
      </c>
      <c r="K253" s="3">
        <f t="shared" si="10"/>
        <v>38.340000000000003</v>
      </c>
      <c r="L253" s="3">
        <f t="shared" si="10"/>
        <v>38.42</v>
      </c>
      <c r="M253" s="3">
        <f t="shared" si="10"/>
        <v>38.49</v>
      </c>
      <c r="N253" s="3">
        <f t="shared" si="8"/>
        <v>445.40000000000003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Arkusz1</vt:lpstr>
      <vt:lpstr>Arkusz1!historia</vt:lpstr>
      <vt:lpstr>Arkusz1!zestawienie6d_1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szefitek</dc:creator>
  <cp:lastModifiedBy>szefitek</cp:lastModifiedBy>
  <dcterms:created xsi:type="dcterms:W3CDTF">2026-03-29T18:38:18Z</dcterms:created>
  <dcterms:modified xsi:type="dcterms:W3CDTF">2026-03-29T21:08:02Z</dcterms:modified>
</cp:coreProperties>
</file>